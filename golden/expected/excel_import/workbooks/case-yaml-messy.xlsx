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<sst xmlns="http://schemas.openxmlformats.org/spreadsheetml/2006/main" count="170" uniqueCount="131">
  <si>
    <t>Settings of Messy Team</t>
  </si>
  <si>
    <t>Label</t>
  </si>
  <si>
    <t>Value</t>
  </si>
  <si>
    <t>Key (team.yaml)</t>
  </si>
  <si>
    <t>name</t>
  </si>
  <si>
    <t>Messy Team</t>
  </si>
  <si>
    <t>unit</t>
  </si>
  <si>
    <t>SP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</si>
  <si>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</si>
  <si>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</si>
  <si>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</si>
  <si>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</si>
  <si>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</si>
  <si>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</si>
  <si>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</si>
  <si>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</si>
  <si>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</si>
  <si>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</si>
  <si>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</si>
  <si>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</si>
  <si>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</si>
  <si>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</si>
  <si>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</si>
  <si>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</si>
  <si>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</si>
  <si>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</si>
  <si>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linear</t>
  </si>
  <si>
    <t>forecast.trend_mode</t>
  </si>
  <si>
    <t>forecast.horizon</t>
  </si>
  <si>
    <t>capacity.overhead_share</t>
  </si>
  <si>
    <t>capacity.region</t>
  </si>
  <si>
    <t>BY</t>
  </si>
  <si>
    <t>capacity.rounding</t>
  </si>
  <si>
    <t>Current status</t>
  </si>
  <si>
    <t>01.03.2026</t>
  </si>
  <si>
    <t>Yellow cells are inputs (settings and sprint values); all other cells are formulas. The trend mode is fixed in the formulas.</t>
  </si>
  <si>
    <t>Forecast Messy Team</t>
  </si>
  <si>
    <t>Inputs are yellow; the columns to the right calculate like the web interface (calculation).</t>
  </si>
  <si>
    <t>Sprint</t>
  </si>
  <si>
    <t>Start</t>
  </si>
  <si>
    <t>End</t>
  </si>
  <si>
    <t>Commitment (SP)</t>
  </si>
  <si>
    <t>Velocity (SP)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</si>
  <si>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</si>
  <si>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</si>
  <si>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</si>
  <si>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</si>
  <si>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</si>
  <si>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</si>
  <si>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</si>
  <si>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</si>
  <si>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</si>
  <si>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</si>
  <si>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</si>
  <si>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</si>
  <si>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</si>
  <si>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</si>
  <si>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</si>
  <si>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(SP)</t>
  </si>
  <si>
    <t>Plannable (SP)</t>
  </si>
  <si>
    <t>Small stuff (SP)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</si>
  <si>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</si>
  <si>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</si>
  <si>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</si>
  <si>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</si>
  <si>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</si>
  <si>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(SP)</t>
  </si>
  <si>
    <t>Forecast PLAN: for all others (SP)</t>
  </si>
  <si>
    <t>Σ planning per product (SP)</t>
  </si>
  <si>
    <t>Forecast PLAN − Σ planning (SP)</t>
  </si>
  <si>
    <t>Thin history n. velocity (fewer values than the window, at least 3)</t>
  </si>
  <si>
    <t>Thin history capacity</t>
  </si>
  <si>
    <t>recorded</t>
  </si>
  <si>
    <t>2026.2</t>
  </si>
  <si>
    <t>2026.3</t>
  </si>
  <si>
    <t>expected absences</t>
  </si>
  <si>
    <t>2026.4</t>
  </si>
  <si>
    <t>2026.5</t>
  </si>
  <si>
    <t>2026.6</t>
  </si>
  <si>
    <t>2026.7</t>
  </si>
  <si>
    <t>State of the absences (unknown, expected, confirmed)</t>
  </si>
  <si>
    <t>Forecast PLAN at planning, frozen (SP)</t>
  </si>
  <si>
    <t>Carry-over (SP)</t>
  </si>
  <si>
    <t>Backlog (SP)</t>
  </si>
  <si>
    <t>Corrections of remaining effort (separated by spaces)</t>
  </si>
  <si>
    <t>Of which not finished (SP)</t>
  </si>
  <si>
    <t>Additionally done (SP)</t>
  </si>
  <si>
    <t>Of which with production access, planning (SP)</t>
  </si>
  <si>
    <t>Of which with production access, done (SP)</t>
  </si>
  <si>
    <t>Note</t>
  </si>
  <si>
    <t>A long note that has to wrap because it is longer than one hundred characters, which is the width the dumper uses.</t>
  </si>
  <si>
    <t>Person (ID)</t>
  </si>
  <si>
    <t>Name</t>
  </si>
  <si>
    <t>days</t>
  </si>
  <si>
    <t>Kind (absences = confirmed, expected_absences = announced)</t>
  </si>
  <si>
    <t>zoe</t>
  </si>
  <si>
    <t>Zoë Äpfel</t>
  </si>
  <si>
    <t>absences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</si>
  <si>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</si>
  <si>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</si>
  <si>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</si>
  <si>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</si>
  <si>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</si>
  <si>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</si>
  <si>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</si>
  <si>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</si>
  <si>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li</t>
  </si>
  <si>
    <t>O'Neil: the "second"</t>
  </si>
  <si>
    <t>PO</t>
  </si>
  <si>
    <t>Handled from</t>
  </si>
  <si>
    <t>Handled until</t>
  </si>
  <si>
    <t>Fixed share (0–1)</t>
  </si>
  <si>
    <t>Time</t>
  </si>
  <si>
    <t>Comment</t>
  </si>
  <si>
    <t>Expected not finished (SP)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</si>
  <si>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</si>
  <si>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</si>
  <si>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</si>
  <si>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</si>
  <si>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</si>
  <si>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</si>
  <si>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(SP)</t>
  </si>
  <si>
    <t>PO pre-planning (SP)</t>
  </si>
  <si>
    <t>Planning (SP)</t>
  </si>
  <si>
    <t>Done (SP)</t>
  </si>
  <si>
    <t>of which production access (planning) (SP)</t>
  </si>
  <si>
    <t>of which production access (done) (SP)</t>
  </si>
  <si>
    <t>Planning without production access (SP)</t>
  </si>
  <si>
    <t>Done without production access (SP)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</si>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</sst>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" borderId="0" xfId="0" applyNumberFormat="1" applyFill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'Trend'!$B$2:$B$8</c:f>
              <c:numCache>
                <c:formatCode>General</c:formatCode>
                <c:ptCount val="7"/>
                <c:pt idx="0">
                  <c:v>33.734939759036145</c:v>
                </c:pt>
                <c:pt idx="1">
                  <c:v>12.5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'Trend'!$D$2:$D$8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'Trend'!$E$2:$E$8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'Trend'!$F$2:$F$8</c:f>
              <c:numCache>
                <c:formatCode>General</c:formatCode>
                <c:ptCount val="7"/>
                <c:pt idx="0">
                  <c:v>28.0</c:v>
                </c:pt>
                <c:pt idx="1">
                  <c:v>10.0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'Trend'!$A$2:$A$8</c:f>
              <c:numCache>
                <c:formatCode>General</c:formatCode>
                <c:ptCount val="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</c:numCache>
            </c:numRef>
          </c:cat>
          <c:val>
            <c:numRef>
              <c:f>'Trend'!$G$2:$G$8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50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3</v>
      </c>
      <c r="C17" s="4" t="s">
        <v>28</v>
      </c>
    </row>
    <row r="18" spans="1:3">
      <c r="A18" t="s">
        <v>29</v>
      </c>
      <c r="B18" s="3">
        <v>0.1</v>
      </c>
      <c r="C18" s="4" t="s">
        <v>29</v>
      </c>
    </row>
    <row r="19" spans="1:3">
      <c r="A19" t="s">
        <v>30</v>
      </c>
      <c r="B19" s="3" t="s">
        <v>31</v>
      </c>
      <c r="C19" s="4" t="s">
        <v>30</v>
      </c>
    </row>
    <row r="20" spans="1:3">
      <c r="A20" t="s">
        <v>32</v>
      </c>
      <c r="B20" s="3">
        <v>1</v>
      </c>
      <c r="C20" s="4" t="s">
        <v>32</v>
      </c>
    </row>
    <row r="22" spans="1:3">
      <c r="A22" t="s">
        <v>70</v>
      </c>
      <c r="B22" t="b">
        <f>AND(COUNT('Forecast'!$K$4:$K$10)&gt;=3,COUNT('Forecast'!$K$4:$K$10)&lt;Fenster)</f>
        <v>0</v>
      </c>
    </row>
    <row r="23" spans="1:3">
      <c r="A23" t="s">
        <v>71</v>
      </c>
      <c r="B23" t="b">
        <f>AND(COUNT('Forecast'!$J$4:$J$10)&gt;=3,COUNT('Forecast'!$J$4:$J$10)&lt;Fenster)</f>
        <v>0</v>
      </c>
    </row>
    <row r="25" spans="1:3">
      <c r="A25" t="s">
        <v>33</v>
      </c>
      <c r="B25" t="s">
        <v>34</v>
      </c>
    </row>
    <row r="27" spans="1:3">
      <c r="A2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36</v>
      </c>
    </row>
    <row r="2" spans="1:32">
      <c r="A2" t="s">
        <v>37</v>
      </c>
    </row>
    <row r="3" spans="1:32" ht="60" customHeight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69</v>
      </c>
    </row>
    <row r="4" spans="1:32">
      <c r="A4" t="s">
        <v>15</v>
      </c>
      <c r="B4" s="5">
        <v>46029</v>
      </c>
      <c r="C4" s="5">
        <v>46043</v>
      </c>
      <c r="D4" s="6"/>
      <c r="E4" s="6">
        <v>28</v>
      </c>
      <c r="F4" s="7"/>
      <c r="G4" s="8">
        <v>41.5</v>
      </c>
      <c r="I4" t="s">
        <v>72</v>
      </c>
      <c r="J4" s="9">
        <f>IF(ISNUMBER(G4),G4,IF(ISNUMBER(H4),H4,""))</f>
        <v>41.5</v>
      </c>
      <c r="K4" s="10">
        <f>IF(AND(ISNUMBER(E4),ISNUMBER(J4),J4&gt;0),E4/J4*Referenz,"")</f>
        <v>33.734939759036145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41.5</v>
      </c>
      <c r="U4" s="10">
        <f>IF(AND(ISNUMBER(N4),ISNUMBER(T4)),MAX(0,ROUNDDOWN(N4/Referenz*T4,Rundung)),IF(ISNUMBER(D4),ROUNDDOWN(D4,Rundung),""))</f>
        <v/>
      </c>
      <c r="V4" s="10">
        <f>IF(ISNUMBER(U4),U4*Roadmap_Anteil,"")</f>
        <v/>
      </c>
      <c r="W4" s="10">
        <f>IF(ISNUMBER(U4),U4-V4,"")</f>
        <v/>
      </c>
      <c r="X4" s="11">
        <f>IF(AND(ISNUMBER(E4),ISNUMBER(D4),D4&lt;&gt;0),E4/D4,"")</f>
        <v/>
      </c>
      <c r="Y4" s="11">
        <f>IF(AND(ISNUMBER(E4),ISNUMBER(J4),J4&gt;0),E4/J4,"")</f>
        <v>0.6746987951807228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73</v>
      </c>
      <c r="B5" s="5">
        <v>46043</v>
      </c>
      <c r="C5" s="5">
        <v>46057</v>
      </c>
      <c r="D5" s="6"/>
      <c r="E5" s="6">
        <v>10</v>
      </c>
      <c r="F5" s="7">
        <v>0.05</v>
      </c>
      <c r="G5" s="8">
        <v>40</v>
      </c>
      <c r="I5" t="s">
        <v>72</v>
      </c>
      <c r="J5" s="9">
        <f>IF(ISNUMBER(G5),G5,IF(ISNUMBER(H5),H5,""))</f>
        <v>40.0</v>
      </c>
      <c r="K5" s="10">
        <f>IF(AND(ISNUMBER(E5),ISNUMBER(J5),J5&gt;0),E5/J5*Referenz,"")</f>
        <v>12.5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IF(ISNUMBER(M5),"",IF(Duenn_nVelocity,IF(ISNUMBER(O4),O4,""),IF(ISNUMBER(O4),O4,"")))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IF(ISNUMBER(Q5),"",IF(Duenn_Kapazitaet,IF(ISNUMBER(S4),S4,""),IF(ISNUMBER(S4),S4,"")))</f>
        <v/>
      </c>
      <c r="S5" s="10">
        <f>IF(ISNUMBER(Q5),Q5,IF(ISNUMBER(R5),R5,""))</f>
        <v/>
      </c>
      <c r="T5" s="9">
        <f>IF(ISNUMBER(J5),J5,R5)</f>
        <v>40.0</v>
      </c>
      <c r="U5" s="10">
        <f>IF(AND(ISNUMBER(N5),ISNUMBER(T5)),MAX(0,ROUNDDOWN(N5/Referenz*T5,Rundung)),IF(ISNUMBER(D5),ROUNDDOWN(D5,Rundung),""))</f>
        <v/>
      </c>
      <c r="V5" s="10">
        <f>IF(ISNUMBER(U5),U5*Roadmap_Anteil,"")</f>
        <v/>
      </c>
      <c r="W5" s="10">
        <f>IF(ISNUMBER(U5),U5-V5,"")</f>
        <v/>
      </c>
      <c r="X5" s="11">
        <f>IF(AND(ISNUMBER(E5),ISNUMBER(D5),D5&lt;&gt;0),E5/D5,"")</f>
        <v/>
      </c>
      <c r="Y5" s="11">
        <f>IF(AND(ISNUMBER(E5),ISNUMBER(J5),J5&gt;0),E5/J5,"")</f>
        <v>0.25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74</v>
      </c>
      <c r="B6" s="5">
        <v>46057</v>
      </c>
      <c r="C6" s="5">
        <v>46071</v>
      </c>
      <c r="D6" s="6"/>
      <c r="E6" s="6"/>
      <c r="F6" s="7"/>
      <c r="G6" s="8"/>
      <c r="H6" s="9">
        <v>12.6</v>
      </c>
      <c r="I6" t="s">
        <v>75</v>
      </c>
      <c r="J6" s="9">
        <f>IF(ISNUMBER(G6),G6,IF(ISNUMBER(H6),H6,""))</f>
        <v>12.6</v>
      </c>
      <c r="K6" s="10">
        <f>IF(AND(ISNUMBER(E6),ISNUMBER(J6),J6&gt;0),E6/J6*Referenz,"")</f>
        <v/>
      </c>
      <c r="L6">
        <f>COUNT(K$4:K6)</f>
        <v>2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IF(ISNUMBER(M6),"",IF(Duenn_nVelocity,IF(ISNUMBER(O5),O5,""),IF(AND(ISNUMBER(O5),ISNUMBER(O4)),MAX(0,O5+(O5-O4)),IF(ISNUMBER(O5),O5,""))))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IF(ISNUMBER(Q6),"",IF(Duenn_Kapazitaet,IF(ISNUMBER(S5),S5,""),IF(AND(ISNUMBER(S5),ISNUMBER(S4)),MAX(0,S5+(S5-S4)),IF(ISNUMBER(S5),S5,""))))</f>
        <v/>
      </c>
      <c r="S6" s="10">
        <f>IF(ISNUMBER(Q6),Q6,IF(ISNUMBER(R6),R6,""))</f>
        <v/>
      </c>
      <c r="T6" s="9">
        <f>IF(ISNUMBER(J6),J6,R6)</f>
        <v>12.6</v>
      </c>
      <c r="U6" s="10">
        <f>IF(AND(ISNUMBER(N6),ISNUMBER(T6)),MAX(0,ROUNDDOWN(N6/Referenz*T6,Rundung)),IF(ISNUMBER(D6),ROUNDDOWN(D6,Rundung),""))</f>
        <v/>
      </c>
      <c r="V6" s="10">
        <f>IF(ISNUMBER(U6),U6*Roadmap_Anteil,"")</f>
        <v/>
      </c>
      <c r="W6" s="10">
        <f>IF(ISNUMBER(U6),U6-V6,"")</f>
        <v/>
      </c>
      <c r="X6" s="11">
        <f>IF(AND(ISNUMBER(E6),ISNUMBER(D6),D6&lt;&gt;0),E6/D6,"")</f>
        <v/>
      </c>
      <c r="Y6" s="11">
        <f>IF(AND(ISNUMBER(E6),ISNUMBER(J6),J6&gt;0),E6/J6,"")</f>
        <v/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76</v>
      </c>
      <c r="B7" s="5">
        <v>46071</v>
      </c>
      <c r="C7" s="5">
        <v>46085</v>
      </c>
      <c r="D7" s="6"/>
      <c r="E7" s="6"/>
      <c r="F7" s="7"/>
      <c r="G7" s="8"/>
      <c r="H7" s="9">
        <v>12.6</v>
      </c>
      <c r="I7" t="s">
        <v>75</v>
      </c>
      <c r="J7" s="9">
        <f>IF(ISNUMBER(G7),G7,IF(ISNUMBER(H7),H7,""))</f>
        <v>12.6</v>
      </c>
      <c r="K7" s="10">
        <f>IF(AND(ISNUMBER(E7),ISNUMBER(J7),J7&gt;0),E7/J7*Referenz,"")</f>
        <v/>
      </c>
      <c r="L7">
        <f>COUNT(K$4:K7)</f>
        <v>2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IF(ISNUMBER(M7),"",IF(Duenn_nVelocity,IF(ISNUMBER(O6),O6,""),IF(AND(ISNUMBER(O6),ISNUMBER(O5)),MAX(0,O6+(O6-O5)),IF(ISNUMBER(O6),O6,""))))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IF(ISNUMBER(Q7),"",IF(Duenn_Kapazitaet,IF(ISNUMBER(S6),S6,""),IF(AND(ISNUMBER(S6),ISNUMBER(S5)),MAX(0,S6+(S6-S5)),IF(ISNUMBER(S6),S6,""))))</f>
        <v/>
      </c>
      <c r="S7" s="10">
        <f>IF(ISNUMBER(Q7),Q7,IF(ISNUMBER(R7),R7,""))</f>
        <v/>
      </c>
      <c r="T7" s="9">
        <f>IF(ISNUMBER(J7),J7,R7)</f>
        <v>12.6</v>
      </c>
      <c r="U7" s="10">
        <f>IF(AND(ISNUMBER(N7),ISNUMBER(T7)),MAX(0,ROUNDDOWN(N7/Referenz*T7,Rundung)),IF(ISNUMBER(D7),ROUNDDOWN(D7,Rundung),""))</f>
        <v/>
      </c>
      <c r="V7" s="10">
        <f>IF(ISNUMBER(U7),U7*Roadmap_Anteil,"")</f>
        <v/>
      </c>
      <c r="W7" s="10">
        <f>IF(ISNUMBER(U7),U7-V7,"")</f>
        <v/>
      </c>
      <c r="X7" s="11">
        <f>IF(AND(ISNUMBER(E7),ISNUMBER(D7),D7&lt;&gt;0),E7/D7,"")</f>
        <v/>
      </c>
      <c r="Y7" s="11">
        <f>IF(AND(ISNUMBER(E7),ISNUMBER(J7),J7&gt;0),E7/J7,"")</f>
        <v/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77</v>
      </c>
      <c r="B8" s="5">
        <v>46085</v>
      </c>
      <c r="C8" s="5">
        <v>46099</v>
      </c>
      <c r="D8" s="6"/>
      <c r="E8" s="6"/>
      <c r="F8" s="7"/>
      <c r="G8" s="8"/>
      <c r="H8" s="9">
        <v>12.6</v>
      </c>
      <c r="I8" t="s">
        <v>75</v>
      </c>
      <c r="J8" s="9">
        <f>IF(ISNUMBER(G8),G8,IF(ISNUMBER(H8),H8,""))</f>
        <v>12.6</v>
      </c>
      <c r="K8" s="10">
        <f>IF(AND(ISNUMBER(E8),ISNUMBER(J8),J8&gt;0),E8/J8*Referenz,"")</f>
        <v/>
      </c>
      <c r="L8">
        <f>COUNT(K$4:K8)</f>
        <v>2</v>
      </c>
      <c r="M8" s="10">
        <f>IF(NOT(ISNUMBER(K8)),"",IF(L8&gt;=Fenster,AVERAGEIFS(K$4:K8,L$4:L8,"&gt;"&amp;(L8-Fenster)),IF(AND(Duenn_nVelocity,L8&gt;=3),AVERAGE(K$4:K8),"")))</f>
        <v/>
      </c>
      <c r="N8" s="10">
        <f>IF(ISNUMBER(M8),"",IF(Duenn_nVelocity,IF(ISNUMBER(O7),O7,""),IF(AND(ISNUMBER(O7),ISNUMBER(O6)),MAX(0,O7+(O7-O6)),IF(ISNUMBER(O7),O7,""))))</f>
        <v/>
      </c>
      <c r="O8" s="10">
        <f>IF(ISNUMBER(M8),M8,IF(ISNUMBER(N8),N8,""))</f>
        <v/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23.86</v>
      </c>
      <c r="R8" s="10">
        <f>IF(ISNUMBER(Q8),"",IF(Duenn_Kapazitaet,IF(ISNUMBER(S7),S7,""),IF(AND(ISNUMBER(S7),ISNUMBER(S6)),MAX(0,S7+(S7-S6)),IF(ISNUMBER(S7),S7,""))))</f>
        <v/>
      </c>
      <c r="S8" s="10">
        <f>IF(ISNUMBER(Q8),Q8,IF(ISNUMBER(R8),R8,""))</f>
        <v>23.86</v>
      </c>
      <c r="T8" s="9">
        <f>IF(ISNUMBER(J8),J8,R8)</f>
        <v>12.6</v>
      </c>
      <c r="U8" s="10">
        <f>IF(AND(ISNUMBER(N8),ISNUMBER(T8)),MAX(0,ROUNDDOWN(N8/Referenz*T8,Rundung)),IF(ISNUMBER(D8),ROUNDDOWN(D8,Rundung),""))</f>
        <v/>
      </c>
      <c r="V8" s="10">
        <f>IF(ISNUMBER(U8),U8*Roadmap_Anteil,"")</f>
        <v/>
      </c>
      <c r="W8" s="10">
        <f>IF(ISNUMBER(U8),U8-V8,"")</f>
        <v/>
      </c>
      <c r="X8" s="11">
        <f>IF(AND(ISNUMBER(E8),ISNUMBER(D8),D8&lt;&gt;0),E8/D8,"")</f>
        <v/>
      </c>
      <c r="Y8" s="11">
        <f>IF(AND(ISNUMBER(E8),ISNUMBER(J8),J8&gt;0),E8/J8,"")</f>
        <v/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78</v>
      </c>
      <c r="B9" s="5">
        <v>46099</v>
      </c>
      <c r="C9" s="5">
        <v>46113</v>
      </c>
      <c r="D9" s="6"/>
      <c r="E9" s="6"/>
      <c r="F9" s="7"/>
      <c r="G9" s="8"/>
      <c r="H9" s="9">
        <v>12.6</v>
      </c>
      <c r="I9" t="s">
        <v>75</v>
      </c>
      <c r="J9" s="9">
        <f>IF(ISNUMBER(G9),G9,IF(ISNUMBER(H9),H9,""))</f>
        <v>12.6</v>
      </c>
      <c r="K9" s="10">
        <f>IF(AND(ISNUMBER(E9),ISNUMBER(J9),J9&gt;0),E9/J9*Referenz,"")</f>
        <v/>
      </c>
      <c r="L9">
        <f>COUNT(K$4:K9)</f>
        <v>2</v>
      </c>
      <c r="M9" s="10">
        <f>IF(NOT(ISNUMBER(K9)),"",IF(L9&gt;=Fenster,AVERAGEIFS(K$4:K9,L$4:L9,"&gt;"&amp;(L9-Fenster)),IF(AND(Duenn_nVelocity,L9&gt;=3),AVERAGE(K$4:K9),"")))</f>
        <v/>
      </c>
      <c r="N9" s="10">
        <f>IF(ISNUMBER(M9),"",IF(Duenn_nVelocity,IF(ISNUMBER(O8),O8,""),IF(AND(ISNUMBER(O8),ISNUMBER(O7)),MAX(0,O8+(O8-O7)),IF(ISNUMBER(O8),O8,""))))</f>
        <v/>
      </c>
      <c r="O9" s="10">
        <f>IF(ISNUMBER(M9),M9,IF(ISNUMBER(N9),N9,""))</f>
        <v/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18.080000000000002</v>
      </c>
      <c r="R9" s="10">
        <f>IF(ISNUMBER(Q9),"",IF(Duenn_Kapazitaet,IF(ISNUMBER(S8),S8,""),IF(AND(ISNUMBER(S8),ISNUMBER(S7)),MAX(0,S8+(S8-S7)),IF(ISNUMBER(S8),S8,""))))</f>
        <v/>
      </c>
      <c r="S9" s="10">
        <f>IF(ISNUMBER(Q9),Q9,IF(ISNUMBER(R9),R9,""))</f>
        <v>18.080000000000002</v>
      </c>
      <c r="T9" s="9">
        <f>IF(ISNUMBER(J9),J9,R9)</f>
        <v>12.6</v>
      </c>
      <c r="U9" s="10">
        <f>IF(AND(ISNUMBER(N9),ISNUMBER(T9)),MAX(0,ROUNDDOWN(N9/Referenz*T9,Rundung)),IF(ISNUMBER(D9),ROUNDDOWN(D9,Rundung),""))</f>
        <v/>
      </c>
      <c r="V9" s="10">
        <f>IF(ISNUMBER(U9),U9*Roadmap_Anteil,"")</f>
        <v/>
      </c>
      <c r="W9" s="10">
        <f>IF(ISNUMBER(U9),U9-V9,"")</f>
        <v/>
      </c>
      <c r="X9" s="11">
        <f>IF(AND(ISNUMBER(E9),ISNUMBER(D9),D9&lt;&gt;0),E9/D9,"")</f>
        <v/>
      </c>
      <c r="Y9" s="11">
        <f>IF(AND(ISNUMBER(E9),ISNUMBER(J9),J9&gt;0),E9/J9,"")</f>
        <v/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79</v>
      </c>
      <c r="B10" s="5">
        <v>46113</v>
      </c>
      <c r="C10" s="5">
        <v>46127</v>
      </c>
      <c r="D10" s="6"/>
      <c r="E10" s="6"/>
      <c r="F10" s="7"/>
      <c r="G10" s="8"/>
      <c r="H10" s="9">
        <v>10.08</v>
      </c>
      <c r="I10" t="s">
        <v>75</v>
      </c>
      <c r="J10" s="9">
        <f>IF(ISNUMBER(G10),G10,IF(ISNUMBER(H10),H10,""))</f>
        <v>10.08</v>
      </c>
      <c r="K10" s="10">
        <f>IF(AND(ISNUMBER(E10),ISNUMBER(J10),J10&gt;0),E10/J10*Referenz,"")</f>
        <v/>
      </c>
      <c r="L10">
        <f>COUNT(K$4:K10)</f>
        <v>2</v>
      </c>
      <c r="M10" s="10">
        <f>IF(NOT(ISNUMBER(K10)),"",IF(L10&gt;=Fenster,AVERAGEIFS(K$4:K10,L$4:L10,"&gt;"&amp;(L10-Fenster)),IF(AND(Duenn_nVelocity,L10&gt;=3),AVERAGE(K$4:K10),"")))</f>
        <v/>
      </c>
      <c r="N10" s="10">
        <f>IF(ISNUMBER(M10),"",IF(Duenn_nVelocity,IF(ISNUMBER(O9),O9,""),IF(AND(ISNUMBER(O9),ISNUMBER(O8)),MAX(0,O9+(O9-O8)),IF(ISNUMBER(O9),O9,""))))</f>
        <v/>
      </c>
      <c r="O10" s="10">
        <f>IF(ISNUMBER(M10),M10,IF(ISNUMBER(N10),N10,""))</f>
        <v/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12.096</v>
      </c>
      <c r="R10" s="10">
        <f>IF(ISNUMBER(Q10),"",IF(Duenn_Kapazitaet,IF(ISNUMBER(S9),S9,""),IF(AND(ISNUMBER(S9),ISNUMBER(S8)),MAX(0,S9+(S9-S8)),IF(ISNUMBER(S9),S9,""))))</f>
        <v/>
      </c>
      <c r="S10" s="10">
        <f>IF(ISNUMBER(Q10),Q10,IF(ISNUMBER(R10),R10,""))</f>
        <v>12.096</v>
      </c>
      <c r="T10" s="9">
        <f>IF(ISNUMBER(J10),J10,R10)</f>
        <v>10.08</v>
      </c>
      <c r="U10" s="10">
        <f>IF(AND(ISNUMBER(N10),ISNUMBER(T10)),MAX(0,ROUNDDOWN(N10/Referenz*T10,Rundung)),IF(ISNUMBER(D10),ROUNDDOWN(D10,Rundung),""))</f>
        <v/>
      </c>
      <c r="V10" s="10">
        <f>IF(ISNUMBER(U10),U10*Roadmap_Anteil,"")</f>
        <v/>
      </c>
      <c r="W10" s="10">
        <f>IF(ISNUMBER(U10),U10-V10,"")</f>
        <v/>
      </c>
      <c r="X10" s="11">
        <f>IF(AND(ISNUMBER(E10),ISNUMBER(D10),D10&lt;&gt;0),E10/D10,"")</f>
        <v/>
      </c>
      <c r="Y10" s="11">
        <f>IF(AND(ISNUMBER(E10),ISNUMBER(J10),J10&gt;0),E10/J10,"")</f>
        <v/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38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</row>
    <row r="2" spans="1:11">
      <c r="A2" t="s">
        <v>15</v>
      </c>
      <c r="B2" s="3"/>
      <c r="C2" s="6"/>
      <c r="D2" s="6"/>
      <c r="E2" s="6"/>
      <c r="F2" s="3"/>
      <c r="G2" s="6"/>
      <c r="H2" s="6"/>
      <c r="I2" s="6"/>
      <c r="J2" s="6"/>
      <c r="K2" s="3" t="s">
        <v>90</v>
      </c>
    </row>
    <row r="3" spans="1:11">
      <c r="A3" t="s">
        <v>73</v>
      </c>
      <c r="B3" s="3"/>
      <c r="C3" s="6"/>
      <c r="D3" s="6"/>
      <c r="E3" s="6"/>
      <c r="F3" s="3"/>
      <c r="G3" s="6"/>
      <c r="H3" s="6"/>
      <c r="I3" s="6"/>
      <c r="J3" s="6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38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t="s">
        <v>73</v>
      </c>
      <c r="B2" t="s">
        <v>95</v>
      </c>
      <c r="C2" t="s">
        <v>96</v>
      </c>
      <c r="D2" s="6">
        <v>2</v>
      </c>
      <c r="E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98</v>
      </c>
      <c r="B1" s="2" t="s">
        <v>92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</row>
    <row r="2" spans="1:9">
      <c r="A2" s="3" t="s">
        <v>95</v>
      </c>
      <c r="B2" s="3" t="s">
        <v>96</v>
      </c>
      <c r="C2" s="3"/>
      <c r="D2" s="3"/>
      <c r="E2" s="3"/>
      <c r="F2" s="3"/>
      <c r="G2" s="12">
        <v>45658</v>
      </c>
      <c r="H2" s="12"/>
      <c r="I2" s="6">
        <v>1</v>
      </c>
    </row>
    <row r="3" spans="1:9">
      <c r="A3" s="3" t="s">
        <v>106</v>
      </c>
      <c r="B3" s="3" t="s">
        <v>107</v>
      </c>
      <c r="C3" s="3"/>
      <c r="D3" s="3"/>
      <c r="E3" s="3"/>
      <c r="F3" s="3"/>
      <c r="G3" s="12">
        <v>45717</v>
      </c>
      <c r="H3" s="12">
        <v>46203</v>
      </c>
      <c r="I3" s="6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98</v>
      </c>
      <c r="B1" s="2" t="s">
        <v>92</v>
      </c>
      <c r="C1" s="2" t="s">
        <v>108</v>
      </c>
      <c r="D1" s="2" t="s">
        <v>109</v>
      </c>
      <c r="E1" s="2" t="s">
        <v>110</v>
      </c>
      <c r="F1" s="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38</v>
      </c>
      <c r="B1" s="2" t="s">
        <v>119</v>
      </c>
      <c r="C1" s="2" t="s">
        <v>120</v>
      </c>
      <c r="D1" s="2" t="s">
        <v>108</v>
      </c>
      <c r="E1" s="2" t="s">
        <v>121</v>
      </c>
      <c r="F1" s="2" t="s">
        <v>122</v>
      </c>
      <c r="G1" s="2" t="s">
        <v>123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38</v>
      </c>
      <c r="B1" s="2" t="s">
        <v>112</v>
      </c>
      <c r="C1" s="2" t="s">
        <v>113</v>
      </c>
      <c r="D1" s="2" t="s">
        <v>41</v>
      </c>
      <c r="E1" s="2" t="s">
        <v>114</v>
      </c>
      <c r="F1" s="2" t="s">
        <v>86</v>
      </c>
      <c r="G1" s="2" t="s">
        <v>115</v>
      </c>
      <c r="H1" s="2" t="s">
        <v>116</v>
      </c>
      <c r="I1" s="2" t="s">
        <v>117</v>
      </c>
      <c r="J1" s="2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16.7109375" customWidth="1"/>
  </cols>
  <sheetData>
    <row r="1" spans="1:7">
      <c r="A1" s="2" t="s">
        <v>38</v>
      </c>
      <c r="B1" s="2" t="s">
        <v>48</v>
      </c>
      <c r="C1" s="2" t="s">
        <v>50</v>
      </c>
      <c r="D1" s="2" t="s">
        <v>51</v>
      </c>
      <c r="E1" s="2" t="s">
        <v>117</v>
      </c>
      <c r="F1" s="2" t="s">
        <v>129</v>
      </c>
      <c r="G1" s="2" t="s">
        <v>130</v>
      </c>
    </row>
    <row r="2" spans="1:7">
      <c r="A2" t="str">
        <f>'Forecast'!A4</f>
        <v>2026.1</v>
      </c>
      <c r="B2">
        <f>IF(ISNUMBER('Forecast'!K4),'Forecast'!K4,NA())</f>
        <v>33.734939759036145</v>
      </c>
      <c r="C2" t="e">
        <f>IF(ISNUMBER('Forecast'!M4),'Forecast'!M4,NA())</f>
        <v>#N/A</v>
      </c>
      <c r="D2" t="e">
        <f>IF(ISNUMBER('Forecast'!N4),'Forecast'!N4,NA())</f>
        <v>#N/A</v>
      </c>
      <c r="E2" t="e">
        <f>IF(ISNUMBER('Forecast'!U4),'Forecast'!U4,NA())</f>
        <v>#N/A</v>
      </c>
      <c r="F2">
        <f>IF(ISNUMBER('Forecast'!E4),'Forecast'!E4,NA())</f>
        <v>28.0</v>
      </c>
      <c r="G2" t="e">
        <f>IF(ISNUMBER('Forecast'!D4),'Forecast'!D4,NA())</f>
        <v>#N/A</v>
      </c>
    </row>
    <row r="3" spans="1:7">
      <c r="A3" t="str">
        <f>'Forecast'!A5</f>
        <v>2026.2</v>
      </c>
      <c r="B3">
        <f>IF(ISNUMBER('Forecast'!K5),'Forecast'!K5,NA())</f>
        <v>12.5</v>
      </c>
      <c r="C3" t="e">
        <f>IF(ISNUMBER('Forecast'!M5),'Forecast'!M5,NA())</f>
        <v>#N/A</v>
      </c>
      <c r="D3" t="e">
        <f>IF(ISNUMBER('Forecast'!N5),'Forecast'!N5,NA())</f>
        <v>#N/A</v>
      </c>
      <c r="E3" t="e">
        <f>IF(ISNUMBER('Forecast'!U5),'Forecast'!U5,NA())</f>
        <v>#N/A</v>
      </c>
      <c r="F3">
        <f>IF(ISNUMBER('Forecast'!E5),'Forecast'!E5,NA())</f>
        <v>10.0</v>
      </c>
      <c r="G3" t="e">
        <f>IF(ISNUMBER('Forecast'!D5),'Forecast'!D5,NA())</f>
        <v>#N/A</v>
      </c>
    </row>
    <row r="4" spans="1:7">
      <c r="A4" t="str">
        <f>'Forecast'!A6</f>
        <v>2026.3</v>
      </c>
      <c r="B4" t="e">
        <f>IF(ISNUMBER('Forecast'!K6),'Forecast'!K6,NA())</f>
        <v>#N/A</v>
      </c>
      <c r="C4" t="e">
        <f>IF(ISNUMBER('Forecast'!M6),'Forecast'!M6,NA())</f>
        <v>#N/A</v>
      </c>
      <c r="D4" t="e">
        <f>IF(ISNUMBER('Forecast'!N6),'Forecast'!N6,NA())</f>
        <v>#N/A</v>
      </c>
      <c r="E4" t="e">
        <f>IF(ISNUMBER('Forecast'!U6),'Forecast'!U6,NA())</f>
        <v>#N/A</v>
      </c>
      <c r="F4" t="e">
        <f>IF(ISNUMBER('Forecast'!E6),'Forecast'!E6,NA())</f>
        <v>#N/A</v>
      </c>
      <c r="G4" t="e">
        <f>IF(ISNUMBER('Forecast'!D6),'Forecast'!D6,NA())</f>
        <v>#N/A</v>
      </c>
    </row>
    <row r="5" spans="1:7">
      <c r="A5" t="str">
        <f>'Forecast'!A7</f>
        <v>2026.4</v>
      </c>
      <c r="B5" t="e">
        <f>IF(ISNUMBER('Forecast'!K7),'Forecast'!K7,NA())</f>
        <v>#N/A</v>
      </c>
      <c r="C5" t="e">
        <f>IF(ISNUMBER('Forecast'!M7),'Forecast'!M7,NA())</f>
        <v>#N/A</v>
      </c>
      <c r="D5" t="e">
        <f>IF(ISNUMBER('Forecast'!N7),'Forecast'!N7,NA())</f>
        <v>#N/A</v>
      </c>
      <c r="E5" t="e">
        <f>IF(ISNUMBER('Forecast'!U7),'Forecast'!U7,NA())</f>
        <v>#N/A</v>
      </c>
      <c r="F5" t="e">
        <f>IF(ISNUMBER('Forecast'!E7),'Forecast'!E7,NA())</f>
        <v>#N/A</v>
      </c>
      <c r="G5" t="e">
        <f>IF(ISNUMBER('Forecast'!D7),'Forecast'!D7,NA())</f>
        <v>#N/A</v>
      </c>
    </row>
    <row r="6" spans="1:7">
      <c r="A6" t="str">
        <f>'Forecast'!A8</f>
        <v>2026.5</v>
      </c>
      <c r="B6" t="e">
        <f>IF(ISNUMBER('Forecast'!K8),'Forecast'!K8,NA())</f>
        <v>#N/A</v>
      </c>
      <c r="C6" t="e">
        <f>IF(ISNUMBER('Forecast'!M8),'Forecast'!M8,NA())</f>
        <v>#N/A</v>
      </c>
      <c r="D6" t="e">
        <f>IF(ISNUMBER('Forecast'!N8),'Forecast'!N8,NA())</f>
        <v>#N/A</v>
      </c>
      <c r="E6" t="e">
        <f>IF(ISNUMBER('Forecast'!U8),'Forecast'!U8,NA())</f>
        <v>#N/A</v>
      </c>
      <c r="F6" t="e">
        <f>IF(ISNUMBER('Forecast'!E8),'Forecast'!E8,NA())</f>
        <v>#N/A</v>
      </c>
      <c r="G6" t="e">
        <f>IF(ISNUMBER('Forecast'!D8),'Forecast'!D8,NA())</f>
        <v>#N/A</v>
      </c>
    </row>
    <row r="7" spans="1:7">
      <c r="A7" t="str">
        <f>'Forecast'!A9</f>
        <v>2026.6</v>
      </c>
      <c r="B7" t="e">
        <f>IF(ISNUMBER('Forecast'!K9),'Forecast'!K9,NA())</f>
        <v>#N/A</v>
      </c>
      <c r="C7" t="e">
        <f>IF(ISNUMBER('Forecast'!M9),'Forecast'!M9,NA())</f>
        <v>#N/A</v>
      </c>
      <c r="D7" t="e">
        <f>IF(ISNUMBER('Forecast'!N9),'Forecast'!N9,NA())</f>
        <v>#N/A</v>
      </c>
      <c r="E7" t="e">
        <f>IF(ISNUMBER('Forecast'!U9),'Forecast'!U9,NA())</f>
        <v>#N/A</v>
      </c>
      <c r="F7" t="e">
        <f>IF(ISNUMBER('Forecast'!E9),'Forecast'!E9,NA())</f>
        <v>#N/A</v>
      </c>
      <c r="G7" t="e">
        <f>IF(ISNUMBER('Forecast'!D9),'Forecast'!D9,NA())</f>
        <v>#N/A</v>
      </c>
    </row>
    <row r="8" spans="1:7">
      <c r="A8" t="str">
        <f>'Forecast'!A10</f>
        <v>2026.7</v>
      </c>
      <c r="B8" t="e">
        <f>IF(ISNUMBER('Forecast'!K10),'Forecast'!K10,NA())</f>
        <v>#N/A</v>
      </c>
      <c r="C8" t="e">
        <f>IF(ISNUMBER('Forecast'!M10),'Forecast'!M10,NA())</f>
        <v>#N/A</v>
      </c>
      <c r="D8" t="e">
        <f>IF(ISNUMBER('Forecast'!N10),'Forecast'!N10,NA())</f>
        <v>#N/A</v>
      </c>
      <c r="E8" t="e">
        <f>IF(ISNUMBER('Forecast'!U10),'Forecast'!U10,NA())</f>
        <v>#N/A</v>
      </c>
      <c r="F8" t="e">
        <f>IF(ISNUMBER('Forecast'!E10),'Forecast'!E10,NA())</f>
        <v>#N/A</v>
      </c>
      <c r="G8" t="e">
        <f>IF(ISNUMBER('Forecast'!D10),'Forecast'!D10,NA())</f>
        <v>#N/A</v>
      </c>
    </row>
  </sheetData>
  <conditionalFormatting sqref="B2:G8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messy</vt:lpwstr>
  </property>
</Properties>
</file>