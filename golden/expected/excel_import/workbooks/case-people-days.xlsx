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'Settings'!$B$24</definedName>
    <definedName name="Duenn_nVelocity">'Settings'!$B$23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<sst xmlns="http://schemas.openxmlformats.org/spreadsheetml/2006/main" count="300" uniqueCount="170">
  <si>
    <t>Settings of Golden people-days</t>
  </si>
  <si>
    <t>Label</t>
  </si>
  <si>
    <t>Value</t>
  </si>
  <si>
    <t>Key (team.yaml)</t>
  </si>
  <si>
    <t>name</t>
  </si>
  <si>
    <t>Golden people-days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</si>
  <si>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</si>
  <si>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</si>
  <si>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</si>
  <si>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</si>
  <si>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</si>
  <si>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</si>
  <si>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</si>
  <si>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</si>
  <si>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</si>
  <si>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2026.14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</si>
  <si>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</si>
  <si>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</si>
  <si>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</si>
  <si>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</si>
  <si>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</si>
  <si>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</si>
  <si>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</si>
  <si>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</si>
  <si>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</si>
  <si>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</si>
  <si>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flat</t>
  </si>
  <si>
    <t>forecast.trend_mode</t>
  </si>
  <si>
    <t>forecast.horizon</t>
  </si>
  <si>
    <t>capacity.overhead_share</t>
  </si>
  <si>
    <t>capacity.overhead_days</t>
  </si>
  <si>
    <t>capacity.region</t>
  </si>
  <si>
    <t>NW</t>
  </si>
  <si>
    <t>capacity.rounding</t>
  </si>
  <si>
    <t>Current status</t>
  </si>
  <si>
    <t>05.01.2027</t>
  </si>
  <si>
    <t>Yellow cells are inputs (settings and sprint values); all other cells are formulas. The trend mode is fixed in the formulas.</t>
  </si>
  <si>
    <t>Forecast Golden people-days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</si>
  <si>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</si>
  <si>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</si>
  <si>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</si>
  <si>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</si>
  <si>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</si>
  <si>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</si>
  <si>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</si>
  <si>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</si>
  <si>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</si>
  <si>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</si>
  <si>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</si>
  <si>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</si>
  <si>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</si>
  <si>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</si>
  <si>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</si>
  <si>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</si>
  <si>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</si>
  <si>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</si>
  <si>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</si>
  <si>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</si>
  <si>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</si>
  <si>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</si>
  <si>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</si>
  <si>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</si>
  <si>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</si>
  <si>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</si>
  <si>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</si>
  <si>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</si>
  <si>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</si>
  <si>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</si>
  <si>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</si>
  <si>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</si>
  <si>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</si>
  <si>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</si>
  <si>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</si>
  <si>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people list</t>
  </si>
  <si>
    <t>2026.15</t>
  </si>
  <si>
    <t>2026.16</t>
  </si>
  <si>
    <t>2026.17</t>
  </si>
  <si>
    <t>announced absences</t>
  </si>
  <si>
    <t>2026.18</t>
  </si>
  <si>
    <t>expected absences</t>
  </si>
  <si>
    <t>2026.19</t>
  </si>
  <si>
    <t>2026.20</t>
  </si>
  <si>
    <t>2026.21</t>
  </si>
  <si>
    <t>2026.22</t>
  </si>
  <si>
    <t>2026.23</t>
  </si>
  <si>
    <t>2026.24</t>
  </si>
  <si>
    <t>2026.25</t>
  </si>
  <si>
    <t>2026.26</t>
  </si>
  <si>
    <t>2026.27</t>
  </si>
  <si>
    <t>2027.1</t>
  </si>
  <si>
    <t>2027.2</t>
  </si>
  <si>
    <t>2027.3</t>
  </si>
  <si>
    <t>2027.4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</si>
  <si>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</si>
  <si>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</si>
  <si>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</si>
  <si>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</si>
  <si>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</si>
  <si>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</si>
  <si>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</si>
  <si>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</si>
  <si>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</si>
  <si>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</si>
  <si>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expected</t>
  </si>
  <si>
    <t>1.5</t>
  </si>
  <si>
    <t>unknown</t>
  </si>
  <si>
    <t>Person (ID)</t>
  </si>
  <si>
    <t>Name</t>
  </si>
  <si>
    <t>days</t>
  </si>
  <si>
    <t>Kind (absences = confirmed, expected_absences = announced)</t>
  </si>
  <si>
    <t>anna</t>
  </si>
  <si>
    <t>Anna</t>
  </si>
  <si>
    <t>absences</t>
  </si>
  <si>
    <t>ben</t>
  </si>
  <si>
    <t>Ben</t>
  </si>
  <si>
    <t>cem</t>
  </si>
  <si>
    <t>Cem</t>
  </si>
  <si>
    <t>dana</t>
  </si>
  <si>
    <t>Dana</t>
  </si>
  <si>
    <t>expected_absences</t>
  </si>
  <si>
    <t>gina</t>
  </si>
  <si>
    <t>Gina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</si>
  <si>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</si>
  <si>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</si>
  <si>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</si>
  <si>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</si>
  <si>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</si>
  <si>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</si>
  <si>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</si>
  <si>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</si>
  <si>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BY</t>
  </si>
  <si>
    <t>US</t>
  </si>
  <si>
    <t>CA</t>
  </si>
  <si>
    <t>eli</t>
  </si>
  <si>
    <t>Eli</t>
  </si>
  <si>
    <t>CN</t>
  </si>
  <si>
    <t>fadi</t>
  </si>
  <si>
    <t>Fadi</t>
  </si>
  <si>
    <t>SA</t>
  </si>
  <si>
    <t>mon,tue,wed,thu</t>
  </si>
  <si>
    <t>hugo</t>
  </si>
  <si>
    <t>Hugo</t>
  </si>
  <si>
    <t>sun-thu</t>
  </si>
  <si>
    <t>ines</t>
  </si>
  <si>
    <t>Ines</t>
  </si>
  <si>
    <t>jonas</t>
  </si>
  <si>
    <t>Jonas</t>
  </si>
  <si>
    <t>PO</t>
  </si>
  <si>
    <t>Handled from</t>
  </si>
  <si>
    <t>Handled until</t>
  </si>
  <si>
    <t>Fixed share (0–1)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</si>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</sst>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'Trend'!$B$2:$B$19</c:f>
              <c:numCache>
                <c:formatCode>General</c:formatCode>
                <c:ptCount val="18"/>
                <c:pt idx="0">
                  <c:v>16.068866571018653</c:v>
                </c:pt>
                <c:pt idx="1">
                  <c:v>15.544041450777202</c:v>
                </c:pt>
                <c:pt idx="2">
                  <c:v>14.173228346456693</c:v>
                </c:pt>
                <c:pt idx="3">
                  <c:v>17.78975741239892</c:v>
                </c:pt>
                <c:pt idx="4">
                  <c:v>17.234600238864665</c:v>
                </c:pt>
                <c:pt idx="5">
                  <c:v>16.122307157748438</c:v>
                </c:pt>
                <c:pt idx="6">
                  <c:v>18.252933507170795</c:v>
                </c:pt>
                <c:pt idx="7">
                  <c:v>15.018773466833542</c:v>
                </c:pt>
                <c:pt idx="8">
                  <c:v>14.414414414414413</c:v>
                </c:pt>
                <c:pt idx="9">
                  <c:v>16.20316692491312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16.162098803903227</c:v>
                </c:pt>
                <c:pt idx="5">
                  <c:v>16.172786921249184</c:v>
                </c:pt>
                <c:pt idx="6">
                  <c:v>16.714565332527904</c:v>
                </c:pt>
                <c:pt idx="7">
                  <c:v>16.883674356603272</c:v>
                </c:pt>
                <c:pt idx="8">
                  <c:v>16.20860575700637</c:v>
                </c:pt>
                <c:pt idx="9">
                  <c:v>16.002319094216062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16.002319094216062</c:v>
                </c:pt>
                <c:pt idx="11">
                  <c:v>16.002319094216062</c:v>
                </c:pt>
                <c:pt idx="12">
                  <c:v>16.002319094216062</c:v>
                </c:pt>
                <c:pt idx="13">
                  <c:v>16.002319094216062</c:v>
                </c:pt>
                <c:pt idx="14">
                  <c:v>16.002319094216062</c:v>
                </c:pt>
                <c:pt idx="15">
                  <c:v>16.002319094216062</c:v>
                </c:pt>
                <c:pt idx="16">
                  <c:v>16.002319094216062</c:v>
                </c:pt>
                <c:pt idx="17">
                  <c:v>16.002319094216062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'Trend'!$E$2:$E$19</c:f>
              <c:numCache>
                <c:formatCode>General</c:formatCode>
                <c:ptCount val="18"/>
                <c:pt idx="0">
                  <c:v>30.0</c:v>
                </c:pt>
                <c:pt idx="1">
                  <c:v>31.0</c:v>
                </c:pt>
                <c:pt idx="2">
                  <c:v>30.0</c:v>
                </c:pt>
                <c:pt idx="3">
                  <c:v>34.0</c:v>
                </c:pt>
                <c:pt idx="4">
                  <c:v>32.0</c:v>
                </c:pt>
                <c:pt idx="5">
                  <c:v>30.0</c:v>
                </c:pt>
                <c:pt idx="6">
                  <c:v>36.0</c:v>
                </c:pt>
                <c:pt idx="7">
                  <c:v>31.0</c:v>
                </c:pt>
                <c:pt idx="8">
                  <c:v>30.0</c:v>
                </c:pt>
                <c:pt idx="9">
                  <c:v>33.0</c:v>
                </c:pt>
                <c:pt idx="10">
                  <c:v>29.5</c:v>
                </c:pt>
                <c:pt idx="11">
                  <c:v>32.6</c:v>
                </c:pt>
                <c:pt idx="12">
                  <c:v>29.2</c:v>
                </c:pt>
                <c:pt idx="13">
                  <c:v>25.7</c:v>
                </c:pt>
                <c:pt idx="14">
                  <c:v>28.0</c:v>
                </c:pt>
                <c:pt idx="15">
                  <c:v>27.5</c:v>
                </c:pt>
                <c:pt idx="16">
                  <c:v>27.3</c:v>
                </c:pt>
                <c:pt idx="17">
                  <c:v>28.0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'Trend'!$F$2:$F$19</c:f>
              <c:numCache>
                <c:formatCode>General</c:formatCode>
                <c:ptCount val="18"/>
                <c:pt idx="0">
                  <c:v>28.0</c:v>
                </c:pt>
                <c:pt idx="1">
                  <c:v>30.0</c:v>
                </c:pt>
                <c:pt idx="2">
                  <c:v>27.0</c:v>
                </c:pt>
                <c:pt idx="3">
                  <c:v>33.0</c:v>
                </c:pt>
                <c:pt idx="4">
                  <c:v>31.0</c:v>
                </c:pt>
                <c:pt idx="5">
                  <c:v>29.0</c:v>
                </c:pt>
                <c:pt idx="6">
                  <c:v>35.0</c:v>
                </c:pt>
                <c:pt idx="7">
                  <c:v>30.0</c:v>
                </c:pt>
                <c:pt idx="8">
                  <c:v>28.0</c:v>
                </c:pt>
                <c:pt idx="9">
                  <c:v>32.0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'Trend'!$A$2:$A$19</c:f>
              <c:numCache>
                <c:formatCode>General</c:formatCode>
                <c:ptCount val="18"/>
                <c:pt idx="0">
                  <c:v>2026.14</c:v>
                </c:pt>
                <c:pt idx="1">
                  <c:v>2026.15</c:v>
                </c:pt>
                <c:pt idx="2">
                  <c:v>2026.16</c:v>
                </c:pt>
                <c:pt idx="3">
                  <c:v>2026.17</c:v>
                </c:pt>
                <c:pt idx="4">
                  <c:v>2026.18</c:v>
                </c:pt>
                <c:pt idx="5">
                  <c:v>2026.19</c:v>
                </c:pt>
                <c:pt idx="6">
                  <c:v>2026.20</c:v>
                </c:pt>
                <c:pt idx="7">
                  <c:v>2026.21</c:v>
                </c:pt>
                <c:pt idx="8">
                  <c:v>2026.22</c:v>
                </c:pt>
                <c:pt idx="9">
                  <c:v>2026.23</c:v>
                </c:pt>
                <c:pt idx="10">
                  <c:v>2026.24</c:v>
                </c:pt>
                <c:pt idx="11">
                  <c:v>2026.25</c:v>
                </c:pt>
                <c:pt idx="12">
                  <c:v>2026.26</c:v>
                </c:pt>
                <c:pt idx="13">
                  <c:v>2026.27</c:v>
                </c:pt>
                <c:pt idx="14">
                  <c:v>2027.1</c:v>
                </c:pt>
                <c:pt idx="15">
                  <c:v>2027.2</c:v>
                </c:pt>
                <c:pt idx="16">
                  <c:v>2027.3</c:v>
                </c:pt>
                <c:pt idx="17">
                  <c:v>2027.4</c:v>
                </c:pt>
              </c:numCache>
            </c:numRef>
          </c:cat>
          <c:val>
            <c:numRef>
              <c:f>'Trend'!$G$2:$G$19</c:f>
              <c:numCache>
                <c:formatCode>General</c:formatCode>
                <c:ptCount val="18"/>
                <c:pt idx="0">
                  <c:v>30.0</c:v>
                </c:pt>
                <c:pt idx="1">
                  <c:v>31.0</c:v>
                </c:pt>
                <c:pt idx="2">
                  <c:v>30.0</c:v>
                </c:pt>
                <c:pt idx="3">
                  <c:v>34.0</c:v>
                </c:pt>
                <c:pt idx="4">
                  <c:v>32.0</c:v>
                </c:pt>
                <c:pt idx="5">
                  <c:v>30.0</c:v>
                </c:pt>
                <c:pt idx="6">
                  <c:v>36.0</c:v>
                </c:pt>
                <c:pt idx="7">
                  <c:v>31.0</c:v>
                </c:pt>
                <c:pt idx="8">
                  <c:v>30.0</c:v>
                </c:pt>
                <c:pt idx="9">
                  <c:v>33.0</c:v>
                </c:pt>
                <c:pt idx="10">
                  <c:v>30.0</c:v>
                </c:pt>
                <c:pt idx="11">
                  <c:v>29.0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46204</v>
      </c>
      <c r="C11" s="4" t="s">
        <v>16</v>
      </c>
    </row>
    <row r="12" spans="1:3">
      <c r="A12" t="s">
        <v>17</v>
      </c>
      <c r="B12" s="3">
        <v>40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4</v>
      </c>
      <c r="C17" s="4" t="s">
        <v>28</v>
      </c>
    </row>
    <row r="18" spans="1:3">
      <c r="A18" t="s">
        <v>29</v>
      </c>
      <c r="B18" s="3">
        <v>0</v>
      </c>
      <c r="C18" s="4" t="s">
        <v>29</v>
      </c>
    </row>
    <row r="19" spans="1:3">
      <c r="A19" t="s">
        <v>30</v>
      </c>
      <c r="B19" s="3">
        <v>1</v>
      </c>
      <c r="C19" s="4" t="s">
        <v>30</v>
      </c>
    </row>
    <row r="20" spans="1:3">
      <c r="A20" t="s">
        <v>31</v>
      </c>
      <c r="B20" s="3" t="s">
        <v>32</v>
      </c>
      <c r="C20" s="4" t="s">
        <v>31</v>
      </c>
    </row>
    <row r="21" spans="1:3">
      <c r="A21" t="s">
        <v>33</v>
      </c>
      <c r="B21" s="3">
        <v>1</v>
      </c>
      <c r="C21" s="4" t="s">
        <v>33</v>
      </c>
    </row>
    <row r="23" spans="1:3">
      <c r="A23" t="s">
        <v>71</v>
      </c>
      <c r="B23" t="b">
        <f>AND(COUNT('Forecast'!$K$4:$K$21)&gt;=3,COUNT('Forecast'!$K$4:$K$21)&lt;Fenster)</f>
        <v>0</v>
      </c>
    </row>
    <row r="24" spans="1:3">
      <c r="A24" t="s">
        <v>72</v>
      </c>
      <c r="B24" t="b">
        <f>AND(COUNT('Forecast'!$J$4:$J$21)&gt;=3,COUNT('Forecast'!$J$4:$J$21)&lt;Fenster)</f>
        <v>0</v>
      </c>
    </row>
    <row r="26" spans="1:3">
      <c r="A26" t="s">
        <v>34</v>
      </c>
      <c r="B26" t="s">
        <v>35</v>
      </c>
    </row>
    <row r="28" spans="1:3">
      <c r="A2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37</v>
      </c>
    </row>
    <row r="2" spans="1:32">
      <c r="A2" t="s">
        <v>38</v>
      </c>
    </row>
    <row r="3" spans="1:32" ht="60" customHeight="1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  <c r="AB3" s="2" t="s">
        <v>66</v>
      </c>
      <c r="AC3" s="2" t="s">
        <v>67</v>
      </c>
      <c r="AD3" s="2" t="s">
        <v>68</v>
      </c>
      <c r="AE3" s="2" t="s">
        <v>69</v>
      </c>
      <c r="AF3" s="2" t="s">
        <v>70</v>
      </c>
    </row>
    <row r="4" spans="1:32">
      <c r="A4" t="s">
        <v>15</v>
      </c>
      <c r="B4" s="5">
        <v>46204</v>
      </c>
      <c r="C4" s="5">
        <v>46218</v>
      </c>
      <c r="D4" s="6">
        <v>30</v>
      </c>
      <c r="E4" s="6">
        <v>28</v>
      </c>
      <c r="F4" s="7"/>
      <c r="G4" s="8"/>
      <c r="H4" s="9">
        <v>69.7</v>
      </c>
      <c r="I4" t="s">
        <v>73</v>
      </c>
      <c r="J4" s="9">
        <f>IF(ISNUMBER(G4),G4,IF(ISNUMBER(H4),H4,""))</f>
        <v>69.7</v>
      </c>
      <c r="K4" s="10">
        <f>IF(AND(ISNUMBER(E4),ISNUMBER(J4),J4&gt;0),E4/J4*Referenz,"")</f>
        <v>16.068866571018653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69.7</v>
      </c>
      <c r="U4" s="10">
        <f>IF(AND(ISNUMBER(N4),ISNUMBER(T4)),MAX(0,ROUNDDOWN(N4/Referenz*T4,Rundung)),IF(ISNUMBER(D4),ROUNDDOWN(D4,Rundung),""))</f>
        <v>30.0</v>
      </c>
      <c r="V4" s="10">
        <f>IF(ISNUMBER(U4),U4*Roadmap_Anteil,"")</f>
        <v>24.0</v>
      </c>
      <c r="W4" s="10">
        <f>IF(ISNUMBER(U4),U4-V4,"")</f>
        <v>6.0</v>
      </c>
      <c r="X4" s="11">
        <f>IF(AND(ISNUMBER(E4),ISNUMBER(D4),D4&lt;&gt;0),E4/D4,"")</f>
        <v>0.9333333333333333</v>
      </c>
      <c r="Y4" s="11">
        <f>IF(AND(ISNUMBER(E4),ISNUMBER(J4),J4&gt;0),E4/J4,"")</f>
        <v>0.4017216642754663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74</v>
      </c>
      <c r="B5" s="5">
        <v>46218</v>
      </c>
      <c r="C5" s="5">
        <v>46232</v>
      </c>
      <c r="D5" s="6">
        <v>31</v>
      </c>
      <c r="E5" s="6">
        <v>30</v>
      </c>
      <c r="F5" s="7"/>
      <c r="G5" s="8"/>
      <c r="H5" s="9">
        <v>77.2</v>
      </c>
      <c r="I5" t="s">
        <v>73</v>
      </c>
      <c r="J5" s="9">
        <f>IF(ISNUMBER(G5),G5,IF(ISNUMBER(H5),H5,""))</f>
        <v>77.2</v>
      </c>
      <c r="K5" s="10">
        <f>IF(AND(ISNUMBER(E5),ISNUMBER(J5),J5&gt;0),E5/J5*Referenz,"")</f>
        <v>15.544041450777202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77.2</v>
      </c>
      <c r="U5" s="10">
        <f>IF(AND(ISNUMBER(N5),ISNUMBER(T5)),MAX(0,ROUNDDOWN(N5/Referenz*T5,Rundung)),IF(ISNUMBER(D5),ROUNDDOWN(D5,Rundung),""))</f>
        <v>31.0</v>
      </c>
      <c r="V5" s="10">
        <f>IF(ISNUMBER(U5),U5*Roadmap_Anteil,"")</f>
        <v>24.8</v>
      </c>
      <c r="W5" s="10">
        <f>IF(ISNUMBER(U5),U5-V5,"")</f>
        <v>6.199999999999999</v>
      </c>
      <c r="X5" s="11">
        <f>IF(AND(ISNUMBER(E5),ISNUMBER(D5),D5&lt;&gt;0),E5/D5,"")</f>
        <v>0.967741935483871</v>
      </c>
      <c r="Y5" s="11">
        <f>IF(AND(ISNUMBER(E5),ISNUMBER(J5),J5&gt;0),E5/J5,"")</f>
        <v>0.38860103626943004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75</v>
      </c>
      <c r="B6" s="5">
        <v>46232</v>
      </c>
      <c r="C6" s="5">
        <v>46246</v>
      </c>
      <c r="D6" s="6">
        <v>30</v>
      </c>
      <c r="E6" s="6">
        <v>27</v>
      </c>
      <c r="F6" s="7"/>
      <c r="G6" s="8"/>
      <c r="H6" s="9">
        <v>76.2</v>
      </c>
      <c r="I6" t="s">
        <v>73</v>
      </c>
      <c r="J6" s="9">
        <f>IF(ISNUMBER(G6),G6,IF(ISNUMBER(H6),H6,""))</f>
        <v>76.2</v>
      </c>
      <c r="K6" s="10">
        <f>IF(AND(ISNUMBER(E6),ISNUMBER(J6),J6&gt;0),E6/J6*Referenz,"")</f>
        <v>14.173228346456693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IF(ISNUMBER(M6),"",IF(Duenn_nVelocity,IF(ISNUMBER(O5),O5,""),IF(ISNUMBER(O5),O5,"")))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IF(ISNUMBER(Q6),"",IF(Duenn_Kapazitaet,IF(ISNUMBER(S5),S5,""),IF(ISNUMBER(S5),S5,"")))</f>
        <v/>
      </c>
      <c r="S6" s="10">
        <f>IF(ISNUMBER(Q6),Q6,IF(ISNUMBER(R6),R6,""))</f>
        <v/>
      </c>
      <c r="T6" s="9">
        <f>IF(ISNUMBER(J6),J6,R6)</f>
        <v>76.2</v>
      </c>
      <c r="U6" s="10">
        <f>IF(AND(ISNUMBER(N6),ISNUMBER(T6)),MAX(0,ROUNDDOWN(N6/Referenz*T6,Rundung)),IF(ISNUMBER(D6),ROUNDDOWN(D6,Rundung),""))</f>
        <v>30.0</v>
      </c>
      <c r="V6" s="10">
        <f>IF(ISNUMBER(U6),U6*Roadmap_Anteil,"")</f>
        <v>24.0</v>
      </c>
      <c r="W6" s="10">
        <f>IF(ISNUMBER(U6),U6-V6,"")</f>
        <v>6.0</v>
      </c>
      <c r="X6" s="11">
        <f>IF(AND(ISNUMBER(E6),ISNUMBER(D6),D6&lt;&gt;0),E6/D6,"")</f>
        <v>0.9</v>
      </c>
      <c r="Y6" s="11">
        <f>IF(AND(ISNUMBER(E6),ISNUMBER(J6),J6&gt;0),E6/J6,"")</f>
        <v>0.3543307086614173</v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76</v>
      </c>
      <c r="B7" s="5">
        <v>46246</v>
      </c>
      <c r="C7" s="5">
        <v>46260</v>
      </c>
      <c r="D7" s="6">
        <v>34</v>
      </c>
      <c r="E7" s="6">
        <v>33</v>
      </c>
      <c r="F7" s="7"/>
      <c r="G7" s="8"/>
      <c r="H7" s="9">
        <v>74.2</v>
      </c>
      <c r="I7" t="s">
        <v>77</v>
      </c>
      <c r="J7" s="9">
        <f>IF(ISNUMBER(G7),G7,IF(ISNUMBER(H7),H7,""))</f>
        <v>74.2</v>
      </c>
      <c r="K7" s="10">
        <f>IF(AND(ISNUMBER(E7),ISNUMBER(J7),J7&gt;0),E7/J7*Referenz,"")</f>
        <v>17.78975741239892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IF(ISNUMBER(M7),"",IF(Duenn_nVelocity,IF(ISNUMBER(O6),O6,""),IF(ISNUMBER(O6),O6,"")))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IF(ISNUMBER(Q7),"",IF(Duenn_Kapazitaet,IF(ISNUMBER(S6),S6,""),IF(ISNUMBER(S6),S6,"")))</f>
        <v/>
      </c>
      <c r="S7" s="10">
        <f>IF(ISNUMBER(Q7),Q7,IF(ISNUMBER(R7),R7,""))</f>
        <v/>
      </c>
      <c r="T7" s="9">
        <f>IF(ISNUMBER(J7),J7,R7)</f>
        <v>74.2</v>
      </c>
      <c r="U7" s="10">
        <f>IF(AND(ISNUMBER(N7),ISNUMBER(T7)),MAX(0,ROUNDDOWN(N7/Referenz*T7,Rundung)),IF(ISNUMBER(D7),ROUNDDOWN(D7,Rundung),""))</f>
        <v>34.0</v>
      </c>
      <c r="V7" s="10">
        <f>IF(ISNUMBER(U7),U7*Roadmap_Anteil,"")</f>
        <v>27.200000000000003</v>
      </c>
      <c r="W7" s="10">
        <f>IF(ISNUMBER(U7),U7-V7,"")</f>
        <v>6.799999999999997</v>
      </c>
      <c r="X7" s="11">
        <f>IF(AND(ISNUMBER(E7),ISNUMBER(D7),D7&lt;&gt;0),E7/D7,"")</f>
        <v>0.9705882352941176</v>
      </c>
      <c r="Y7" s="11">
        <f>IF(AND(ISNUMBER(E7),ISNUMBER(J7),J7&gt;0),E7/J7,"")</f>
        <v>0.444743935309973</v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78</v>
      </c>
      <c r="B8" s="5">
        <v>46260</v>
      </c>
      <c r="C8" s="5">
        <v>46274</v>
      </c>
      <c r="D8" s="6">
        <v>32</v>
      </c>
      <c r="E8" s="6">
        <v>31</v>
      </c>
      <c r="F8" s="7"/>
      <c r="G8" s="8"/>
      <c r="H8" s="9">
        <v>71.94828907048009</v>
      </c>
      <c r="I8" t="s">
        <v>79</v>
      </c>
      <c r="J8" s="9">
        <f>IF(ISNUMBER(G8),G8,IF(ISNUMBER(H8),H8,""))</f>
        <v>71.94828907048009</v>
      </c>
      <c r="K8" s="10">
        <f>IF(AND(ISNUMBER(E8),ISNUMBER(J8),J8&gt;0),E8/J8*Referenz,"")</f>
        <v>17.234600238864665</v>
      </c>
      <c r="L8">
        <f>COUNT(K$4:K8)</f>
        <v>5</v>
      </c>
      <c r="M8" s="10">
        <f>IF(NOT(ISNUMBER(K8)),"",IF(L8&gt;=Fenster,AVERAGEIFS(K$4:K8,L$4:L8,"&gt;"&amp;(L8-Fenster)),IF(AND(Duenn_nVelocity,L8&gt;=3),AVERAGE(K$4:K8),"")))</f>
        <v>16.162098803903227</v>
      </c>
      <c r="N8" s="10">
        <f>IF(ISNUMBER(M8),"",IF(Duenn_nVelocity,IF(ISNUMBER(O7),O7,""),IF(ISNUMBER(O7),O7,"")))</f>
        <v/>
      </c>
      <c r="O8" s="10">
        <f>IF(ISNUMBER(M8),M8,IF(ISNUMBER(N8),N8,""))</f>
        <v>16.162098803903227</v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73.84965781409602</v>
      </c>
      <c r="R8" s="10">
        <f>IF(ISNUMBER(Q8),"",IF(Duenn_Kapazitaet,IF(ISNUMBER(S7),S7,""),IF(ISNUMBER(S7),S7,"")))</f>
        <v/>
      </c>
      <c r="S8" s="10">
        <f>IF(ISNUMBER(Q8),Q8,IF(ISNUMBER(R8),R8,""))</f>
        <v>73.84965781409602</v>
      </c>
      <c r="T8" s="9">
        <f>IF(ISNUMBER(J8),J8,R8)</f>
        <v>71.94828907048009</v>
      </c>
      <c r="U8" s="10">
        <f>IF(AND(ISNUMBER(N8),ISNUMBER(T8)),MAX(0,ROUNDDOWN(N8/Referenz*T8,Rundung)),IF(ISNUMBER(D8),ROUNDDOWN(D8,Rundung),""))</f>
        <v>32.0</v>
      </c>
      <c r="V8" s="10">
        <f>IF(ISNUMBER(U8),U8*Roadmap_Anteil,"")</f>
        <v>25.6</v>
      </c>
      <c r="W8" s="10">
        <f>IF(ISNUMBER(U8),U8-V8,"")</f>
        <v>6.399999999999999</v>
      </c>
      <c r="X8" s="11">
        <f>IF(AND(ISNUMBER(E8),ISNUMBER(D8),D8&lt;&gt;0),E8/D8,"")</f>
        <v>0.96875</v>
      </c>
      <c r="Y8" s="11">
        <f>IF(AND(ISNUMBER(E8),ISNUMBER(J8),J8&gt;0),E8/J8,"")</f>
        <v>0.4308650059716166</v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80</v>
      </c>
      <c r="B9" s="5">
        <v>46274</v>
      </c>
      <c r="C9" s="5">
        <v>46288</v>
      </c>
      <c r="D9" s="6">
        <v>30</v>
      </c>
      <c r="E9" s="6">
        <v>29</v>
      </c>
      <c r="F9" s="7"/>
      <c r="G9" s="8"/>
      <c r="H9" s="9">
        <v>71.95</v>
      </c>
      <c r="I9" t="s">
        <v>73</v>
      </c>
      <c r="J9" s="9">
        <f>IF(ISNUMBER(G9),G9,IF(ISNUMBER(H9),H9,""))</f>
        <v>71.95</v>
      </c>
      <c r="K9" s="10">
        <f>IF(AND(ISNUMBER(E9),ISNUMBER(J9),J9&gt;0),E9/J9*Referenz,"")</f>
        <v>16.122307157748438</v>
      </c>
      <c r="L9">
        <f>COUNT(K$4:K9)</f>
        <v>6</v>
      </c>
      <c r="M9" s="10">
        <f>IF(NOT(ISNUMBER(K9)),"",IF(L9&gt;=Fenster,AVERAGEIFS(K$4:K9,L$4:L9,"&gt;"&amp;(L9-Fenster)),IF(AND(Duenn_nVelocity,L9&gt;=3),AVERAGE(K$4:K9),"")))</f>
        <v>16.172786921249184</v>
      </c>
      <c r="N9" s="10">
        <f>IF(ISNUMBER(M9),"",IF(Duenn_nVelocity,IF(ISNUMBER(O8),O8,""),IF(ISNUMBER(O8),O8,"")))</f>
        <v/>
      </c>
      <c r="O9" s="10">
        <f>IF(ISNUMBER(M9),M9,IF(ISNUMBER(N9),N9,""))</f>
        <v>16.172786921249184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74.29965781409602</v>
      </c>
      <c r="R9" s="10">
        <f>IF(ISNUMBER(Q9),"",IF(Duenn_Kapazitaet,IF(ISNUMBER(S8),S8,""),IF(ISNUMBER(S8),S8,"")))</f>
        <v/>
      </c>
      <c r="S9" s="10">
        <f>IF(ISNUMBER(Q9),Q9,IF(ISNUMBER(R9),R9,""))</f>
        <v>74.29965781409602</v>
      </c>
      <c r="T9" s="9">
        <f>IF(ISNUMBER(J9),J9,R9)</f>
        <v>71.95</v>
      </c>
      <c r="U9" s="10">
        <f>IF(AND(ISNUMBER(N9),ISNUMBER(T9)),MAX(0,ROUNDDOWN(N9/Referenz*T9,Rundung)),IF(ISNUMBER(D9),ROUNDDOWN(D9,Rundung),""))</f>
        <v>30.0</v>
      </c>
      <c r="V9" s="10">
        <f>IF(ISNUMBER(U9),U9*Roadmap_Anteil,"")</f>
        <v>24.0</v>
      </c>
      <c r="W9" s="10">
        <f>IF(ISNUMBER(U9),U9-V9,"")</f>
        <v>6.0</v>
      </c>
      <c r="X9" s="11">
        <f>IF(AND(ISNUMBER(E9),ISNUMBER(D9),D9&lt;&gt;0),E9/D9,"")</f>
        <v>0.9666666666666667</v>
      </c>
      <c r="Y9" s="11">
        <f>IF(AND(ISNUMBER(E9),ISNUMBER(J9),J9&gt;0),E9/J9,"")</f>
        <v>0.4030576789437109</v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81</v>
      </c>
      <c r="B10" s="5">
        <v>46288</v>
      </c>
      <c r="C10" s="5">
        <v>46302</v>
      </c>
      <c r="D10" s="6">
        <v>36</v>
      </c>
      <c r="E10" s="6">
        <v>35</v>
      </c>
      <c r="F10" s="7"/>
      <c r="G10" s="8"/>
      <c r="H10" s="9">
        <v>76.7</v>
      </c>
      <c r="I10" t="s">
        <v>73</v>
      </c>
      <c r="J10" s="9">
        <f>IF(ISNUMBER(G10),G10,IF(ISNUMBER(H10),H10,""))</f>
        <v>76.7</v>
      </c>
      <c r="K10" s="10">
        <f>IF(AND(ISNUMBER(E10),ISNUMBER(J10),J10&gt;0),E10/J10*Referenz,"")</f>
        <v>18.252933507170795</v>
      </c>
      <c r="L10">
        <f>COUNT(K$4:K10)</f>
        <v>7</v>
      </c>
      <c r="M10" s="10">
        <f>IF(NOT(ISNUMBER(K10)),"",IF(L10&gt;=Fenster,AVERAGEIFS(K$4:K10,L$4:L10,"&gt;"&amp;(L10-Fenster)),IF(AND(Duenn_nVelocity,L10&gt;=3),AVERAGE(K$4:K10),"")))</f>
        <v>16.714565332527904</v>
      </c>
      <c r="N10" s="10">
        <f>IF(ISNUMBER(M10),"",IF(Duenn_nVelocity,IF(ISNUMBER(O9),O9,""),IF(ISNUMBER(O9),O9,"")))</f>
        <v/>
      </c>
      <c r="O10" s="10">
        <f>IF(ISNUMBER(M10),M10,IF(ISNUMBER(N10),N10,""))</f>
        <v>16.714565332527904</v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74.19965781409601</v>
      </c>
      <c r="R10" s="10">
        <f>IF(ISNUMBER(Q10),"",IF(Duenn_Kapazitaet,IF(ISNUMBER(S9),S9,""),IF(ISNUMBER(S9),S9,"")))</f>
        <v/>
      </c>
      <c r="S10" s="10">
        <f>IF(ISNUMBER(Q10),Q10,IF(ISNUMBER(R10),R10,""))</f>
        <v>74.19965781409601</v>
      </c>
      <c r="T10" s="9">
        <f>IF(ISNUMBER(J10),J10,R10)</f>
        <v>76.7</v>
      </c>
      <c r="U10" s="10">
        <f>IF(AND(ISNUMBER(N10),ISNUMBER(T10)),MAX(0,ROUNDDOWN(N10/Referenz*T10,Rundung)),IF(ISNUMBER(D10),ROUNDDOWN(D10,Rundung),""))</f>
        <v>36.0</v>
      </c>
      <c r="V10" s="10">
        <f>IF(ISNUMBER(U10),U10*Roadmap_Anteil,"")</f>
        <v>28.8</v>
      </c>
      <c r="W10" s="10">
        <f>IF(ISNUMBER(U10),U10-V10,"")</f>
        <v>7.199999999999999</v>
      </c>
      <c r="X10" s="11">
        <f>IF(AND(ISNUMBER(E10),ISNUMBER(D10),D10&lt;&gt;0),E10/D10,"")</f>
        <v>0.9722222222222222</v>
      </c>
      <c r="Y10" s="11">
        <f>IF(AND(ISNUMBER(E10),ISNUMBER(J10),J10&gt;0),E10/J10,"")</f>
        <v>0.45632333767926986</v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  <row r="11" spans="1:32">
      <c r="A11" t="s">
        <v>82</v>
      </c>
      <c r="B11" s="5">
        <v>46302</v>
      </c>
      <c r="C11" s="5">
        <v>46316</v>
      </c>
      <c r="D11" s="6">
        <v>31</v>
      </c>
      <c r="E11" s="6">
        <v>30</v>
      </c>
      <c r="F11" s="7"/>
      <c r="G11" s="8"/>
      <c r="H11" s="9">
        <v>79.90000000000001</v>
      </c>
      <c r="I11" t="s">
        <v>73</v>
      </c>
      <c r="J11" s="9">
        <f>IF(ISNUMBER(G11),G11,IF(ISNUMBER(H11),H11,""))</f>
        <v>79.9</v>
      </c>
      <c r="K11" s="10">
        <f>IF(AND(ISNUMBER(E11),ISNUMBER(J11),J11&gt;0),E11/J11*Referenz,"")</f>
        <v>15.018773466833542</v>
      </c>
      <c r="L11">
        <f>COUNT(K$4:K11)</f>
        <v>8</v>
      </c>
      <c r="M11" s="10">
        <f>IF(NOT(ISNUMBER(K11)),"",IF(L11&gt;=Fenster,AVERAGEIFS(K$4:K11,L$4:L11,"&gt;"&amp;(L11-Fenster)),IF(AND(Duenn_nVelocity,L11&gt;=3),AVERAGE(K$4:K11),"")))</f>
        <v>16.883674356603272</v>
      </c>
      <c r="N11" s="10">
        <f>IF(ISNUMBER(M11),"",IF(Duenn_nVelocity,IF(ISNUMBER(O10),O10,""),IF(ISNUMBER(O10),O10,"")))</f>
        <v/>
      </c>
      <c r="O11" s="10">
        <f>IF(ISNUMBER(M11),M11,IF(ISNUMBER(N11),N11,""))</f>
        <v>16.883674356603272</v>
      </c>
      <c r="P11">
        <f>COUNT(J$4:J11)</f>
        <v>8</v>
      </c>
      <c r="Q11" s="10">
        <f>IF(NOT(ISNUMBER(J11)),"",IF(P11&gt;=Fenster,AVERAGEIFS(J$4:J11,P$4:P11,"&gt;"&amp;(P11-Fenster)),IF(AND(Duenn_Kapazitaet,P11&gt;=3),AVERAGE(J$4:J11),"")))</f>
        <v>74.93965781409602</v>
      </c>
      <c r="R11" s="10">
        <f>IF(ISNUMBER(Q11),"",IF(Duenn_Kapazitaet,IF(ISNUMBER(S10),S10,""),IF(ISNUMBER(S10),S10,"")))</f>
        <v/>
      </c>
      <c r="S11" s="10">
        <f>IF(ISNUMBER(Q11),Q11,IF(ISNUMBER(R11),R11,""))</f>
        <v>74.93965781409602</v>
      </c>
      <c r="T11" s="9">
        <f>IF(ISNUMBER(J11),J11,R11)</f>
        <v>79.9</v>
      </c>
      <c r="U11" s="10">
        <f>IF(AND(ISNUMBER(N11),ISNUMBER(T11)),MAX(0,ROUNDDOWN(N11/Referenz*T11,Rundung)),IF(ISNUMBER(D11),ROUNDDOWN(D11,Rundung),""))</f>
        <v>31.0</v>
      </c>
      <c r="V11" s="10">
        <f>IF(ISNUMBER(U11),U11*Roadmap_Anteil,"")</f>
        <v>24.8</v>
      </c>
      <c r="W11" s="10">
        <f>IF(ISNUMBER(U11),U11-V11,"")</f>
        <v>6.199999999999999</v>
      </c>
      <c r="X11" s="11">
        <f>IF(AND(ISNUMBER(E11),ISNUMBER(D11),D11&lt;&gt;0),E11/D11,"")</f>
        <v>0.967741935483871</v>
      </c>
      <c r="Y11" s="11">
        <f>IF(AND(ISNUMBER(E11),ISNUMBER(J11),J11&gt;0),E11/J11,"")</f>
        <v>0.37546933667083854</v>
      </c>
      <c r="AE11" s="10">
        <f>IF(COUNTIFS('Product values'!$A$2:$A$2,A11,'Product values'!$G$2:$G$2,"&lt;&gt;")=0,"",SUMIFS('Product values'!$G$2:$G$2,'Product values'!$A$2:$A$2,A11))</f>
        <v/>
      </c>
      <c r="AF11" s="10">
        <f>IF(AND(ISNUMBER(U11),ISNUMBER(AE11)),U11-AE11,"")</f>
        <v/>
      </c>
    </row>
    <row r="12" spans="1:32">
      <c r="A12" t="s">
        <v>83</v>
      </c>
      <c r="B12" s="5">
        <v>46316</v>
      </c>
      <c r="C12" s="5">
        <v>46330</v>
      </c>
      <c r="D12" s="6">
        <v>30</v>
      </c>
      <c r="E12" s="6">
        <v>28</v>
      </c>
      <c r="F12" s="7"/>
      <c r="G12" s="8"/>
      <c r="H12" s="9">
        <v>77.7</v>
      </c>
      <c r="I12" t="s">
        <v>77</v>
      </c>
      <c r="J12" s="9">
        <f>IF(ISNUMBER(G12),G12,IF(ISNUMBER(H12),H12,""))</f>
        <v>77.7</v>
      </c>
      <c r="K12" s="10">
        <f>IF(AND(ISNUMBER(E12),ISNUMBER(J12),J12&gt;0),E12/J12*Referenz,"")</f>
        <v>14.414414414414413</v>
      </c>
      <c r="L12">
        <f>COUNT(K$4:K12)</f>
        <v>9</v>
      </c>
      <c r="M12" s="10">
        <f>IF(NOT(ISNUMBER(K12)),"",IF(L12&gt;=Fenster,AVERAGEIFS(K$4:K12,L$4:L12,"&gt;"&amp;(L12-Fenster)),IF(AND(Duenn_nVelocity,L12&gt;=3),AVERAGE(K$4:K12),"")))</f>
        <v>16.20860575700637</v>
      </c>
      <c r="N12" s="10">
        <f>IF(ISNUMBER(M12),"",IF(Duenn_nVelocity,IF(ISNUMBER(O11),O11,""),IF(ISNUMBER(O11),O11,"")))</f>
        <v/>
      </c>
      <c r="O12" s="10">
        <f>IF(ISNUMBER(M12),M12,IF(ISNUMBER(N12),N12,""))</f>
        <v>16.20860575700637</v>
      </c>
      <c r="P12">
        <f>COUNT(J$4:J12)</f>
        <v>9</v>
      </c>
      <c r="Q12" s="10">
        <f>IF(NOT(ISNUMBER(J12)),"",IF(P12&gt;=Fenster,AVERAGEIFS(J$4:J12,P$4:P12,"&gt;"&amp;(P12-Fenster)),IF(AND(Duenn_Kapazitaet,P12&gt;=3),AVERAGE(J$4:J12),"")))</f>
        <v>75.63965781409601</v>
      </c>
      <c r="R12" s="10">
        <f>IF(ISNUMBER(Q12),"",IF(Duenn_Kapazitaet,IF(ISNUMBER(S11),S11,""),IF(ISNUMBER(S11),S11,"")))</f>
        <v/>
      </c>
      <c r="S12" s="10">
        <f>IF(ISNUMBER(Q12),Q12,IF(ISNUMBER(R12),R12,""))</f>
        <v>75.63965781409601</v>
      </c>
      <c r="T12" s="9">
        <f>IF(ISNUMBER(J12),J12,R12)</f>
        <v>77.7</v>
      </c>
      <c r="U12" s="10">
        <f>IF(AND(ISNUMBER(N12),ISNUMBER(T12)),MAX(0,ROUNDDOWN(N12/Referenz*T12,Rundung)),IF(ISNUMBER(D12),ROUNDDOWN(D12,Rundung),""))</f>
        <v>30.0</v>
      </c>
      <c r="V12" s="10">
        <f>IF(ISNUMBER(U12),U12*Roadmap_Anteil,"")</f>
        <v>24.0</v>
      </c>
      <c r="W12" s="10">
        <f>IF(ISNUMBER(U12),U12-V12,"")</f>
        <v>6.0</v>
      </c>
      <c r="X12" s="11">
        <f>IF(AND(ISNUMBER(E12),ISNUMBER(D12),D12&lt;&gt;0),E12/D12,"")</f>
        <v>0.9333333333333333</v>
      </c>
      <c r="Y12" s="11">
        <f>IF(AND(ISNUMBER(E12),ISNUMBER(J12),J12&gt;0),E12/J12,"")</f>
        <v>0.36036036036036034</v>
      </c>
      <c r="AE12" s="10">
        <f>IF(COUNTIFS('Product values'!$A$2:$A$2,A12,'Product values'!$G$2:$G$2,"&lt;&gt;")=0,"",SUMIFS('Product values'!$G$2:$G$2,'Product values'!$A$2:$A$2,A12))</f>
        <v/>
      </c>
      <c r="AF12" s="10">
        <f>IF(AND(ISNUMBER(U12),ISNUMBER(AE12)),U12-AE12,"")</f>
        <v/>
      </c>
    </row>
    <row r="13" spans="1:32">
      <c r="A13" t="s">
        <v>84</v>
      </c>
      <c r="B13" s="5">
        <v>46330</v>
      </c>
      <c r="C13" s="5">
        <v>46344</v>
      </c>
      <c r="D13" s="6">
        <v>33</v>
      </c>
      <c r="E13" s="6">
        <v>32</v>
      </c>
      <c r="F13" s="7"/>
      <c r="G13" s="8"/>
      <c r="H13" s="9">
        <v>78.9969026383318</v>
      </c>
      <c r="I13" t="s">
        <v>79</v>
      </c>
      <c r="J13" s="9">
        <f>IF(ISNUMBER(G13),G13,IF(ISNUMBER(H13),H13,""))</f>
        <v>78.9969026383318</v>
      </c>
      <c r="K13" s="10">
        <f>IF(AND(ISNUMBER(E13),ISNUMBER(J13),J13&gt;0),E13/J13*Referenz,"")</f>
        <v>16.20316692491312</v>
      </c>
      <c r="L13">
        <f>COUNT(K$4:K13)</f>
        <v>10</v>
      </c>
      <c r="M13" s="10">
        <f>IF(NOT(ISNUMBER(K13)),"",IF(L13&gt;=Fenster,AVERAGEIFS(K$4:K13,L$4:L13,"&gt;"&amp;(L13-Fenster)),IF(AND(Duenn_nVelocity,L13&gt;=3),AVERAGE(K$4:K13),"")))</f>
        <v>16.002319094216062</v>
      </c>
      <c r="N13" s="10">
        <f>IF(ISNUMBER(M13),"",IF(Duenn_nVelocity,IF(ISNUMBER(O12),O12,""),IF(ISNUMBER(O12),O12,"")))</f>
        <v/>
      </c>
      <c r="O13" s="10">
        <f>IF(ISNUMBER(M13),M13,IF(ISNUMBER(N13),N13,""))</f>
        <v>16.002319094216062</v>
      </c>
      <c r="P13">
        <f>COUNT(J$4:J13)</f>
        <v>10</v>
      </c>
      <c r="Q13" s="10">
        <f>IF(NOT(ISNUMBER(J13)),"",IF(P13&gt;=Fenster,AVERAGEIFS(J$4:J13,P$4:P13,"&gt;"&amp;(P13-Fenster)),IF(AND(Duenn_Kapazitaet,P13&gt;=3),AVERAGE(J$4:J13),"")))</f>
        <v>77.04938052766636</v>
      </c>
      <c r="R13" s="10">
        <f>IF(ISNUMBER(Q13),"",IF(Duenn_Kapazitaet,IF(ISNUMBER(S12),S12,""),IF(ISNUMBER(S12),S12,"")))</f>
        <v/>
      </c>
      <c r="S13" s="10">
        <f>IF(ISNUMBER(Q13),Q13,IF(ISNUMBER(R13),R13,""))</f>
        <v>77.04938052766636</v>
      </c>
      <c r="T13" s="9">
        <f>IF(ISNUMBER(J13),J13,R13)</f>
        <v>78.9969026383318</v>
      </c>
      <c r="U13" s="10">
        <f>IF(AND(ISNUMBER(N13),ISNUMBER(T13)),MAX(0,ROUNDDOWN(N13/Referenz*T13,Rundung)),IF(ISNUMBER(D13),ROUNDDOWN(D13,Rundung),""))</f>
        <v>33.0</v>
      </c>
      <c r="V13" s="10">
        <f>IF(ISNUMBER(U13),U13*Roadmap_Anteil,"")</f>
        <v>26.400000000000002</v>
      </c>
      <c r="W13" s="10">
        <f>IF(ISNUMBER(U13),U13-V13,"")</f>
        <v>6.599999999999998</v>
      </c>
      <c r="X13" s="11">
        <f>IF(AND(ISNUMBER(E13),ISNUMBER(D13),D13&lt;&gt;0),E13/D13,"")</f>
        <v>0.9696969696969697</v>
      </c>
      <c r="Y13" s="11">
        <f>IF(AND(ISNUMBER(E13),ISNUMBER(J13),J13&gt;0),E13/J13,"")</f>
        <v>0.40507917312282804</v>
      </c>
      <c r="AE13" s="10">
        <f>IF(COUNTIFS('Product values'!$A$2:$A$2,A13,'Product values'!$G$2:$G$2,"&lt;&gt;")=0,"",SUMIFS('Product values'!$G$2:$G$2,'Product values'!$A$2:$A$2,A13))</f>
        <v/>
      </c>
      <c r="AF13" s="10">
        <f>IF(AND(ISNUMBER(U13),ISNUMBER(AE13)),U13-AE13,"")</f>
        <v/>
      </c>
    </row>
    <row r="14" spans="1:32">
      <c r="A14" t="s">
        <v>85</v>
      </c>
      <c r="B14" s="5">
        <v>46344</v>
      </c>
      <c r="C14" s="5">
        <v>46358</v>
      </c>
      <c r="D14" s="6">
        <v>30</v>
      </c>
      <c r="E14" s="6"/>
      <c r="F14" s="7"/>
      <c r="G14" s="8"/>
      <c r="H14" s="9">
        <v>73.95</v>
      </c>
      <c r="I14" t="s">
        <v>73</v>
      </c>
      <c r="J14" s="9">
        <f>IF(ISNUMBER(G14),G14,IF(ISNUMBER(H14),H14,""))</f>
        <v>73.95</v>
      </c>
      <c r="K14" s="10">
        <f>IF(AND(ISNUMBER(E14),ISNUMBER(J14),J14&gt;0),E14/J14*Referenz,"")</f>
        <v/>
      </c>
      <c r="L14">
        <f>COUNT(K$4:K14)</f>
        <v>10</v>
      </c>
      <c r="M14" s="10">
        <f>IF(NOT(ISNUMBER(K14)),"",IF(L14&gt;=Fenster,AVERAGEIFS(K$4:K14,L$4:L14,"&gt;"&amp;(L14-Fenster)),IF(AND(Duenn_nVelocity,L14&gt;=3),AVERAGE(K$4:K14),"")))</f>
        <v/>
      </c>
      <c r="N14" s="10">
        <f>IF(ISNUMBER(M14),"",IF(Duenn_nVelocity,IF(ISNUMBER(O13),O13,""),IF(ISNUMBER(O13),O13,"")))</f>
        <v>16.002319094216062</v>
      </c>
      <c r="O14" s="10">
        <f>IF(ISNUMBER(M14),M14,IF(ISNUMBER(N14),N14,""))</f>
        <v>16.002319094216062</v>
      </c>
      <c r="P14">
        <f>COUNT(J$4:J14)</f>
        <v>11</v>
      </c>
      <c r="Q14" s="10">
        <f>IF(NOT(ISNUMBER(J14)),"",IF(P14&gt;=Fenster,AVERAGEIFS(J$4:J14,P$4:P14,"&gt;"&amp;(P14-Fenster)),IF(AND(Duenn_Kapazitaet,P14&gt;=3),AVERAGE(J$4:J14),"")))</f>
        <v>77.44938052766636</v>
      </c>
      <c r="R14" s="10">
        <f>IF(ISNUMBER(Q14),"",IF(Duenn_Kapazitaet,IF(ISNUMBER(S13),S13,""),IF(ISNUMBER(S13),S13,"")))</f>
        <v/>
      </c>
      <c r="S14" s="10">
        <f>IF(ISNUMBER(Q14),Q14,IF(ISNUMBER(R14),R14,""))</f>
        <v>77.44938052766636</v>
      </c>
      <c r="T14" s="9">
        <f>IF(ISNUMBER(J14),J14,R14)</f>
        <v>73.95</v>
      </c>
      <c r="U14" s="10">
        <f>IF(AND(ISNUMBER(N14),ISNUMBER(T14)),MAX(0,ROUNDDOWN(N14/Referenz*T14,Rundung)),IF(ISNUMBER(D14),ROUNDDOWN(D14,Rundung),""))</f>
        <v>29.5</v>
      </c>
      <c r="V14" s="10">
        <f>IF(ISNUMBER(U14),U14*Roadmap_Anteil,"")</f>
        <v>23.6</v>
      </c>
      <c r="W14" s="10">
        <f>IF(ISNUMBER(U14),U14-V14,"")</f>
        <v>5.899999999999999</v>
      </c>
      <c r="X14" s="11">
        <f>IF(AND(ISNUMBER(E14),ISNUMBER(D14),D14&lt;&gt;0),E14/D14,"")</f>
        <v/>
      </c>
      <c r="Y14" s="11">
        <f>IF(AND(ISNUMBER(E14),ISNUMBER(J14),J14&gt;0),E14/J14,"")</f>
        <v/>
      </c>
      <c r="AE14" s="10">
        <f>IF(COUNTIFS('Product values'!$A$2:$A$2,A14,'Product values'!$G$2:$G$2,"&lt;&gt;")=0,"",SUMIFS('Product values'!$G$2:$G$2,'Product values'!$A$2:$A$2,A14))</f>
        <v/>
      </c>
      <c r="AF14" s="10">
        <f>IF(AND(ISNUMBER(U14),ISNUMBER(AE14)),U14-AE14,"")</f>
        <v/>
      </c>
    </row>
    <row r="15" spans="1:32">
      <c r="A15" t="s">
        <v>86</v>
      </c>
      <c r="B15" s="5">
        <v>46358</v>
      </c>
      <c r="C15" s="5">
        <v>46372</v>
      </c>
      <c r="D15" s="6">
        <v>29</v>
      </c>
      <c r="E15" s="6"/>
      <c r="F15" s="7"/>
      <c r="G15" s="8"/>
      <c r="H15" s="9">
        <v>81.7</v>
      </c>
      <c r="I15" t="s">
        <v>73</v>
      </c>
      <c r="J15" s="9">
        <f>IF(ISNUMBER(G15),G15,IF(ISNUMBER(H15),H15,""))</f>
        <v>81.7</v>
      </c>
      <c r="K15" s="10">
        <f>IF(AND(ISNUMBER(E15),ISNUMBER(J15),J15&gt;0),E15/J15*Referenz,"")</f>
        <v/>
      </c>
      <c r="L15">
        <f>COUNT(K$4:K15)</f>
        <v>10</v>
      </c>
      <c r="M15" s="10">
        <f>IF(NOT(ISNUMBER(K15)),"",IF(L15&gt;=Fenster,AVERAGEIFS(K$4:K15,L$4:L15,"&gt;"&amp;(L15-Fenster)),IF(AND(Duenn_nVelocity,L15&gt;=3),AVERAGE(K$4:K15),"")))</f>
        <v/>
      </c>
      <c r="N15" s="10">
        <f>IF(ISNUMBER(M15),"",IF(Duenn_nVelocity,IF(ISNUMBER(O14),O14,""),IF(ISNUMBER(O14),O14,"")))</f>
        <v>16.002319094216062</v>
      </c>
      <c r="O15" s="10">
        <f>IF(ISNUMBER(M15),M15,IF(ISNUMBER(N15),N15,""))</f>
        <v>16.002319094216062</v>
      </c>
      <c r="P15">
        <f>COUNT(J$4:J15)</f>
        <v>12</v>
      </c>
      <c r="Q15" s="10">
        <f>IF(NOT(ISNUMBER(J15)),"",IF(P15&gt;=Fenster,AVERAGEIFS(J$4:J15,P$4:P15,"&gt;"&amp;(P15-Fenster)),IF(AND(Duenn_Kapazitaet,P15&gt;=3),AVERAGE(J$4:J15),"")))</f>
        <v>78.44938052766636</v>
      </c>
      <c r="R15" s="10">
        <f>IF(ISNUMBER(Q15),"",IF(Duenn_Kapazitaet,IF(ISNUMBER(S14),S14,""),IF(ISNUMBER(S14),S14,"")))</f>
        <v/>
      </c>
      <c r="S15" s="10">
        <f>IF(ISNUMBER(Q15),Q15,IF(ISNUMBER(R15),R15,""))</f>
        <v>78.44938052766636</v>
      </c>
      <c r="T15" s="9">
        <f>IF(ISNUMBER(J15),J15,R15)</f>
        <v>81.7</v>
      </c>
      <c r="U15" s="10">
        <f>IF(AND(ISNUMBER(N15),ISNUMBER(T15)),MAX(0,ROUNDDOWN(N15/Referenz*T15,Rundung)),IF(ISNUMBER(D15),ROUNDDOWN(D15,Rundung),""))</f>
        <v>32.6</v>
      </c>
      <c r="V15" s="10">
        <f>IF(ISNUMBER(U15),U15*Roadmap_Anteil,"")</f>
        <v>26.080000000000002</v>
      </c>
      <c r="W15" s="10">
        <f>IF(ISNUMBER(U15),U15-V15,"")</f>
        <v>6.52</v>
      </c>
      <c r="X15" s="11">
        <f>IF(AND(ISNUMBER(E15),ISNUMBER(D15),D15&lt;&gt;0),E15/D15,"")</f>
        <v/>
      </c>
      <c r="Y15" s="11">
        <f>IF(AND(ISNUMBER(E15),ISNUMBER(J15),J15&gt;0),E15/J15,"")</f>
        <v/>
      </c>
      <c r="AE15" s="10">
        <f>IF(COUNTIFS('Product values'!$A$2:$A$2,A15,'Product values'!$G$2:$G$2,"&lt;&gt;")=0,"",SUMIFS('Product values'!$G$2:$G$2,'Product values'!$A$2:$A$2,A15))</f>
        <v/>
      </c>
      <c r="AF15" s="10">
        <f>IF(AND(ISNUMBER(U15),ISNUMBER(AE15)),U15-AE15,"")</f>
        <v/>
      </c>
    </row>
    <row r="16" spans="1:32">
      <c r="A16" t="s">
        <v>87</v>
      </c>
      <c r="B16" s="5">
        <v>46372</v>
      </c>
      <c r="C16" s="5">
        <v>46386</v>
      </c>
      <c r="D16" s="6"/>
      <c r="E16" s="6"/>
      <c r="F16" s="7"/>
      <c r="G16" s="8"/>
      <c r="H16" s="9">
        <v>73.2</v>
      </c>
      <c r="I16" t="s">
        <v>77</v>
      </c>
      <c r="J16" s="9">
        <f>IF(ISNUMBER(G16),G16,IF(ISNUMBER(H16),H16,""))</f>
        <v>73.2</v>
      </c>
      <c r="K16" s="10">
        <f>IF(AND(ISNUMBER(E16),ISNUMBER(J16),J16&gt;0),E16/J16*Referenz,"")</f>
        <v/>
      </c>
      <c r="L16">
        <f>COUNT(K$4:K16)</f>
        <v>10</v>
      </c>
      <c r="M16" s="10">
        <f>IF(NOT(ISNUMBER(K16)),"",IF(L16&gt;=Fenster,AVERAGEIFS(K$4:K16,L$4:L16,"&gt;"&amp;(L16-Fenster)),IF(AND(Duenn_nVelocity,L16&gt;=3),AVERAGE(K$4:K16),"")))</f>
        <v/>
      </c>
      <c r="N16" s="10">
        <f>IF(ISNUMBER(M16),"",IF(Duenn_nVelocity,IF(ISNUMBER(O15),O15,""),IF(ISNUMBER(O15),O15,"")))</f>
        <v>16.002319094216062</v>
      </c>
      <c r="O16" s="10">
        <f>IF(ISNUMBER(M16),M16,IF(ISNUMBER(N16),N16,""))</f>
        <v>16.002319094216062</v>
      </c>
      <c r="P16">
        <f>COUNT(J$4:J16)</f>
        <v>13</v>
      </c>
      <c r="Q16" s="10">
        <f>IF(NOT(ISNUMBER(J16)),"",IF(P16&gt;=Fenster,AVERAGEIFS(J$4:J16,P$4:P16,"&gt;"&amp;(P16-Fenster)),IF(AND(Duenn_Kapazitaet,P16&gt;=3),AVERAGE(J$4:J16),"")))</f>
        <v>77.10938052766636</v>
      </c>
      <c r="R16" s="10">
        <f>IF(ISNUMBER(Q16),"",IF(Duenn_Kapazitaet,IF(ISNUMBER(S15),S15,""),IF(ISNUMBER(S15),S15,"")))</f>
        <v/>
      </c>
      <c r="S16" s="10">
        <f>IF(ISNUMBER(Q16),Q16,IF(ISNUMBER(R16),R16,""))</f>
        <v>77.10938052766636</v>
      </c>
      <c r="T16" s="9">
        <f>IF(ISNUMBER(J16),J16,R16)</f>
        <v>73.2</v>
      </c>
      <c r="U16" s="10">
        <f>IF(AND(ISNUMBER(N16),ISNUMBER(T16)),MAX(0,ROUNDDOWN(N16/Referenz*T16,Rundung)),IF(ISNUMBER(D16),ROUNDDOWN(D16,Rundung),""))</f>
        <v>29.2</v>
      </c>
      <c r="V16" s="10">
        <f>IF(ISNUMBER(U16),U16*Roadmap_Anteil,"")</f>
        <v>23.36</v>
      </c>
      <c r="W16" s="10">
        <f>IF(ISNUMBER(U16),U16-V16,"")</f>
        <v>5.84</v>
      </c>
      <c r="X16" s="11">
        <f>IF(AND(ISNUMBER(E16),ISNUMBER(D16),D16&lt;&gt;0),E16/D16,"")</f>
        <v/>
      </c>
      <c r="Y16" s="11">
        <f>IF(AND(ISNUMBER(E16),ISNUMBER(J16),J16&gt;0),E16/J16,"")</f>
        <v/>
      </c>
      <c r="AE16" s="10">
        <f>IF(COUNTIFS('Product values'!$A$2:$A$2,A16,'Product values'!$G$2:$G$2,"&lt;&gt;")=0,"",SUMIFS('Product values'!$G$2:$G$2,'Product values'!$A$2:$A$2,A16))</f>
        <v/>
      </c>
      <c r="AF16" s="10">
        <f>IF(AND(ISNUMBER(U16),ISNUMBER(AE16)),U16-AE16,"")</f>
        <v/>
      </c>
    </row>
    <row r="17" spans="1:32">
      <c r="A17" t="s">
        <v>88</v>
      </c>
      <c r="B17" s="5">
        <v>46386</v>
      </c>
      <c r="C17" s="5">
        <v>46400</v>
      </c>
      <c r="D17" s="6"/>
      <c r="E17" s="6"/>
      <c r="F17" s="7"/>
      <c r="G17" s="8"/>
      <c r="H17" s="9">
        <v>64.40000000000001</v>
      </c>
      <c r="I17" t="s">
        <v>77</v>
      </c>
      <c r="J17" s="9">
        <f>IF(ISNUMBER(G17),G17,IF(ISNUMBER(H17),H17,""))</f>
        <v>64.4</v>
      </c>
      <c r="K17" s="10">
        <f>IF(AND(ISNUMBER(E17),ISNUMBER(J17),J17&gt;0),E17/J17*Referenz,"")</f>
        <v/>
      </c>
      <c r="L17">
        <f>COUNT(K$4:K17)</f>
        <v>10</v>
      </c>
      <c r="M17" s="10">
        <f>IF(NOT(ISNUMBER(K17)),"",IF(L17&gt;=Fenster,AVERAGEIFS(K$4:K17,L$4:L17,"&gt;"&amp;(L17-Fenster)),IF(AND(Duenn_nVelocity,L17&gt;=3),AVERAGE(K$4:K17),"")))</f>
        <v/>
      </c>
      <c r="N17" s="10">
        <f>IF(ISNUMBER(M17),"",IF(Duenn_nVelocity,IF(ISNUMBER(O16),O16,""),IF(ISNUMBER(O16),O16,"")))</f>
        <v>16.002319094216062</v>
      </c>
      <c r="O17" s="10">
        <f>IF(ISNUMBER(M17),M17,IF(ISNUMBER(N17),N17,""))</f>
        <v>16.002319094216062</v>
      </c>
      <c r="P17">
        <f>COUNT(J$4:J17)</f>
        <v>14</v>
      </c>
      <c r="Q17" s="10">
        <f>IF(NOT(ISNUMBER(J17)),"",IF(P17&gt;=Fenster,AVERAGEIFS(J$4:J17,P$4:P17,"&gt;"&amp;(P17-Fenster)),IF(AND(Duenn_Kapazitaet,P17&gt;=3),AVERAGE(J$4:J17),"")))</f>
        <v>74.44938052766636</v>
      </c>
      <c r="R17" s="10">
        <f>IF(ISNUMBER(Q17),"",IF(Duenn_Kapazitaet,IF(ISNUMBER(S16),S16,""),IF(ISNUMBER(S16),S16,"")))</f>
        <v/>
      </c>
      <c r="S17" s="10">
        <f>IF(ISNUMBER(Q17),Q17,IF(ISNUMBER(R17),R17,""))</f>
        <v>74.44938052766636</v>
      </c>
      <c r="T17" s="9">
        <f>IF(ISNUMBER(J17),J17,R17)</f>
        <v>64.4</v>
      </c>
      <c r="U17" s="10">
        <f>IF(AND(ISNUMBER(N17),ISNUMBER(T17)),MAX(0,ROUNDDOWN(N17/Referenz*T17,Rundung)),IF(ISNUMBER(D17),ROUNDDOWN(D17,Rundung),""))</f>
        <v>25.7</v>
      </c>
      <c r="V17" s="10">
        <f>IF(ISNUMBER(U17),U17*Roadmap_Anteil,"")</f>
        <v>20.560000000000002</v>
      </c>
      <c r="W17" s="10">
        <f>IF(ISNUMBER(U17),U17-V17,"")</f>
        <v>5.139999999999997</v>
      </c>
      <c r="X17" s="11">
        <f>IF(AND(ISNUMBER(E17),ISNUMBER(D17),D17&lt;&gt;0),E17/D17,"")</f>
        <v/>
      </c>
      <c r="Y17" s="11">
        <f>IF(AND(ISNUMBER(E17),ISNUMBER(J17),J17&gt;0),E17/J17,"")</f>
        <v/>
      </c>
      <c r="AE17" s="10">
        <f>IF(COUNTIFS('Product values'!$A$2:$A$2,A17,'Product values'!$G$2:$G$2,"&lt;&gt;")=0,"",SUMIFS('Product values'!$G$2:$G$2,'Product values'!$A$2:$A$2,A17))</f>
        <v/>
      </c>
      <c r="AF17" s="10">
        <f>IF(AND(ISNUMBER(U17),ISNUMBER(AE17)),U17-AE17,"")</f>
        <v/>
      </c>
    </row>
    <row r="18" spans="1:32">
      <c r="A18" t="s">
        <v>89</v>
      </c>
      <c r="B18" s="5">
        <v>46400</v>
      </c>
      <c r="C18" s="5">
        <v>46414</v>
      </c>
      <c r="D18" s="6"/>
      <c r="E18" s="6"/>
      <c r="F18" s="7"/>
      <c r="G18" s="8"/>
      <c r="H18" s="9">
        <v>70.18613567851716</v>
      </c>
      <c r="I18" t="s">
        <v>79</v>
      </c>
      <c r="J18" s="9">
        <f>IF(ISNUMBER(G18),G18,IF(ISNUMBER(H18),H18,""))</f>
        <v>70.18613567851716</v>
      </c>
      <c r="K18" s="10">
        <f>IF(AND(ISNUMBER(E18),ISNUMBER(J18),J18&gt;0),E18/J18*Referenz,"")</f>
        <v/>
      </c>
      <c r="L18">
        <f>COUNT(K$4:K18)</f>
        <v>10</v>
      </c>
      <c r="M18" s="10">
        <f>IF(NOT(ISNUMBER(K18)),"",IF(L18&gt;=Fenster,AVERAGEIFS(K$4:K18,L$4:L18,"&gt;"&amp;(L18-Fenster)),IF(AND(Duenn_nVelocity,L18&gt;=3),AVERAGE(K$4:K18),"")))</f>
        <v/>
      </c>
      <c r="N18" s="10">
        <f>IF(ISNUMBER(M18),"",IF(Duenn_nVelocity,IF(ISNUMBER(O17),O17,""),IF(ISNUMBER(O17),O17,"")))</f>
        <v>16.002319094216062</v>
      </c>
      <c r="O18" s="10">
        <f>IF(ISNUMBER(M18),M18,IF(ISNUMBER(N18),N18,""))</f>
        <v>16.002319094216062</v>
      </c>
      <c r="P18">
        <f>COUNT(J$4:J18)</f>
        <v>15</v>
      </c>
      <c r="Q18" s="10">
        <f>IF(NOT(ISNUMBER(J18)),"",IF(P18&gt;=Fenster,AVERAGEIFS(J$4:J18,P$4:P18,"&gt;"&amp;(P18-Fenster)),IF(AND(Duenn_Kapazitaet,P18&gt;=3),AVERAGE(J$4:J18),"")))</f>
        <v>72.68722713570344</v>
      </c>
      <c r="R18" s="10">
        <f>IF(ISNUMBER(Q18),"",IF(Duenn_Kapazitaet,IF(ISNUMBER(S17),S17,""),IF(ISNUMBER(S17),S17,"")))</f>
        <v/>
      </c>
      <c r="S18" s="10">
        <f>IF(ISNUMBER(Q18),Q18,IF(ISNUMBER(R18),R18,""))</f>
        <v>72.68722713570344</v>
      </c>
      <c r="T18" s="9">
        <f>IF(ISNUMBER(J18),J18,R18)</f>
        <v>70.18613567851716</v>
      </c>
      <c r="U18" s="10">
        <f>IF(AND(ISNUMBER(N18),ISNUMBER(T18)),MAX(0,ROUNDDOWN(N18/Referenz*T18,Rundung)),IF(ISNUMBER(D18),ROUNDDOWN(D18,Rundung),""))</f>
        <v>28.0</v>
      </c>
      <c r="V18" s="10">
        <f>IF(ISNUMBER(U18),U18*Roadmap_Anteil,"")</f>
        <v>22.400000000000002</v>
      </c>
      <c r="W18" s="10">
        <f>IF(ISNUMBER(U18),U18-V18,"")</f>
        <v>5.599999999999998</v>
      </c>
      <c r="X18" s="11">
        <f>IF(AND(ISNUMBER(E18),ISNUMBER(D18),D18&lt;&gt;0),E18/D18,"")</f>
        <v/>
      </c>
      <c r="Y18" s="11">
        <f>IF(AND(ISNUMBER(E18),ISNUMBER(J18),J18&gt;0),E18/J18,"")</f>
        <v/>
      </c>
      <c r="AE18" s="10">
        <f>IF(COUNTIFS('Product values'!$A$2:$A$2,A18,'Product values'!$G$2:$G$2,"&lt;&gt;")=0,"",SUMIFS('Product values'!$G$2:$G$2,'Product values'!$A$2:$A$2,A18))</f>
        <v/>
      </c>
      <c r="AF18" s="10">
        <f>IF(AND(ISNUMBER(U18),ISNUMBER(AE18)),U18-AE18,"")</f>
        <v/>
      </c>
    </row>
    <row r="19" spans="1:32">
      <c r="A19" t="s">
        <v>90</v>
      </c>
      <c r="B19" s="5">
        <v>46414</v>
      </c>
      <c r="C19" s="5">
        <v>46428</v>
      </c>
      <c r="D19" s="6"/>
      <c r="E19" s="6"/>
      <c r="F19" s="7"/>
      <c r="G19" s="8"/>
      <c r="H19" s="9">
        <v>68.8126283041431</v>
      </c>
      <c r="I19" t="s">
        <v>79</v>
      </c>
      <c r="J19" s="9">
        <f>IF(ISNUMBER(G19),G19,IF(ISNUMBER(H19),H19,""))</f>
        <v>68.8126283041431</v>
      </c>
      <c r="K19" s="10">
        <f>IF(AND(ISNUMBER(E19),ISNUMBER(J19),J19&gt;0),E19/J19*Referenz,"")</f>
        <v/>
      </c>
      <c r="L19">
        <f>COUNT(K$4:K19)</f>
        <v>10</v>
      </c>
      <c r="M19" s="10">
        <f>IF(NOT(ISNUMBER(K19)),"",IF(L19&gt;=Fenster,AVERAGEIFS(K$4:K19,L$4:L19,"&gt;"&amp;(L19-Fenster)),IF(AND(Duenn_nVelocity,L19&gt;=3),AVERAGE(K$4:K19),"")))</f>
        <v/>
      </c>
      <c r="N19" s="10">
        <f>IF(ISNUMBER(M19),"",IF(Duenn_nVelocity,IF(ISNUMBER(O18),O18,""),IF(ISNUMBER(O18),O18,"")))</f>
        <v>16.002319094216062</v>
      </c>
      <c r="O19" s="10">
        <f>IF(ISNUMBER(M19),M19,IF(ISNUMBER(N19),N19,""))</f>
        <v>16.002319094216062</v>
      </c>
      <c r="P19">
        <f>COUNT(J$4:J19)</f>
        <v>16</v>
      </c>
      <c r="Q19" s="10">
        <f>IF(NOT(ISNUMBER(J19)),"",IF(P19&gt;=Fenster,AVERAGEIFS(J$4:J19,P$4:P19,"&gt;"&amp;(P19-Fenster)),IF(AND(Duenn_Kapazitaet,P19&gt;=3),AVERAGE(J$4:J19),"")))</f>
        <v>71.65975279653205</v>
      </c>
      <c r="R19" s="10">
        <f>IF(ISNUMBER(Q19),"",IF(Duenn_Kapazitaet,IF(ISNUMBER(S18),S18,""),IF(ISNUMBER(S18),S18,"")))</f>
        <v/>
      </c>
      <c r="S19" s="10">
        <f>IF(ISNUMBER(Q19),Q19,IF(ISNUMBER(R19),R19,""))</f>
        <v>71.65975279653205</v>
      </c>
      <c r="T19" s="9">
        <f>IF(ISNUMBER(J19),J19,R19)</f>
        <v>68.8126283041431</v>
      </c>
      <c r="U19" s="10">
        <f>IF(AND(ISNUMBER(N19),ISNUMBER(T19)),MAX(0,ROUNDDOWN(N19/Referenz*T19,Rundung)),IF(ISNUMBER(D19),ROUNDDOWN(D19,Rundung),""))</f>
        <v>27.5</v>
      </c>
      <c r="V19" s="10">
        <f>IF(ISNUMBER(U19),U19*Roadmap_Anteil,"")</f>
        <v>22.0</v>
      </c>
      <c r="W19" s="10">
        <f>IF(ISNUMBER(U19),U19-V19,"")</f>
        <v>5.5</v>
      </c>
      <c r="X19" s="11">
        <f>IF(AND(ISNUMBER(E19),ISNUMBER(D19),D19&lt;&gt;0),E19/D19,"")</f>
        <v/>
      </c>
      <c r="Y19" s="11">
        <f>IF(AND(ISNUMBER(E19),ISNUMBER(J19),J19&gt;0),E19/J19,"")</f>
        <v/>
      </c>
      <c r="AE19" s="10">
        <f>IF(COUNTIFS('Product values'!$A$2:$A$2,A19,'Product values'!$G$2:$G$2,"&lt;&gt;")=0,"",SUMIFS('Product values'!$G$2:$G$2,'Product values'!$A$2:$A$2,A19))</f>
        <v/>
      </c>
      <c r="AF19" s="10">
        <f>IF(AND(ISNUMBER(U19),ISNUMBER(AE19)),U19-AE19,"")</f>
        <v/>
      </c>
    </row>
    <row r="20" spans="1:32">
      <c r="A20" t="s">
        <v>91</v>
      </c>
      <c r="B20" s="5">
        <v>46428</v>
      </c>
      <c r="C20" s="5">
        <v>46442</v>
      </c>
      <c r="D20" s="6"/>
      <c r="E20" s="6"/>
      <c r="F20" s="7"/>
      <c r="G20" s="8"/>
      <c r="H20" s="9">
        <v>68.42019762575052</v>
      </c>
      <c r="I20" t="s">
        <v>79</v>
      </c>
      <c r="J20" s="9">
        <f>IF(ISNUMBER(G20),G20,IF(ISNUMBER(H20),H20,""))</f>
        <v>68.42019762575052</v>
      </c>
      <c r="K20" s="10">
        <f>IF(AND(ISNUMBER(E20),ISNUMBER(J20),J20&gt;0),E20/J20*Referenz,"")</f>
        <v/>
      </c>
      <c r="L20">
        <f>COUNT(K$4:K20)</f>
        <v>10</v>
      </c>
      <c r="M20" s="10">
        <f>IF(NOT(ISNUMBER(K20)),"",IF(L20&gt;=Fenster,AVERAGEIFS(K$4:K20,L$4:L20,"&gt;"&amp;(L20-Fenster)),IF(AND(Duenn_nVelocity,L20&gt;=3),AVERAGE(K$4:K20),"")))</f>
        <v/>
      </c>
      <c r="N20" s="10">
        <f>IF(ISNUMBER(M20),"",IF(Duenn_nVelocity,IF(ISNUMBER(O19),O19,""),IF(ISNUMBER(O19),O19,"")))</f>
        <v>16.002319094216062</v>
      </c>
      <c r="O20" s="10">
        <f>IF(ISNUMBER(M20),M20,IF(ISNUMBER(N20),N20,""))</f>
        <v>16.002319094216062</v>
      </c>
      <c r="P20">
        <f>COUNT(J$4:J20)</f>
        <v>17</v>
      </c>
      <c r="Q20" s="10">
        <f>IF(NOT(ISNUMBER(J20)),"",IF(P20&gt;=Fenster,AVERAGEIFS(J$4:J20,P$4:P20,"&gt;"&amp;(P20-Fenster)),IF(AND(Duenn_Kapazitaet,P20&gt;=3),AVERAGE(J$4:J20),"")))</f>
        <v>69.00379232168216</v>
      </c>
      <c r="R20" s="10">
        <f>IF(ISNUMBER(Q20),"",IF(Duenn_Kapazitaet,IF(ISNUMBER(S19),S19,""),IF(ISNUMBER(S19),S19,"")))</f>
        <v/>
      </c>
      <c r="S20" s="10">
        <f>IF(ISNUMBER(Q20),Q20,IF(ISNUMBER(R20),R20,""))</f>
        <v>69.00379232168216</v>
      </c>
      <c r="T20" s="9">
        <f>IF(ISNUMBER(J20),J20,R20)</f>
        <v>68.42019762575052</v>
      </c>
      <c r="U20" s="10">
        <f>IF(AND(ISNUMBER(N20),ISNUMBER(T20)),MAX(0,ROUNDDOWN(N20/Referenz*T20,Rundung)),IF(ISNUMBER(D20),ROUNDDOWN(D20,Rundung),""))</f>
        <v>27.3</v>
      </c>
      <c r="V20" s="10">
        <f>IF(ISNUMBER(U20),U20*Roadmap_Anteil,"")</f>
        <v>21.840000000000003</v>
      </c>
      <c r="W20" s="10">
        <f>IF(ISNUMBER(U20),U20-V20,"")</f>
        <v>5.459999999999997</v>
      </c>
      <c r="X20" s="11">
        <f>IF(AND(ISNUMBER(E20),ISNUMBER(D20),D20&lt;&gt;0),E20/D20,"")</f>
        <v/>
      </c>
      <c r="Y20" s="11">
        <f>IF(AND(ISNUMBER(E20),ISNUMBER(J20),J20&gt;0),E20/J20,"")</f>
        <v/>
      </c>
      <c r="AE20" s="10">
        <f>IF(COUNTIFS('Product values'!$A$2:$A$2,A20,'Product values'!$G$2:$G$2,"&lt;&gt;")=0,"",SUMIFS('Product values'!$G$2:$G$2,'Product values'!$A$2:$A$2,A20))</f>
        <v/>
      </c>
      <c r="AF20" s="10">
        <f>IF(AND(ISNUMBER(U20),ISNUMBER(AE20)),U20-AE20,"")</f>
        <v/>
      </c>
    </row>
    <row r="21" spans="1:32">
      <c r="A21" t="s">
        <v>92</v>
      </c>
      <c r="B21" s="5">
        <v>46442</v>
      </c>
      <c r="C21" s="5">
        <v>46456</v>
      </c>
      <c r="D21" s="6"/>
      <c r="E21" s="6"/>
      <c r="F21" s="7"/>
      <c r="G21" s="8"/>
      <c r="H21" s="9">
        <v>70.18613567851716</v>
      </c>
      <c r="I21" t="s">
        <v>79</v>
      </c>
      <c r="J21" s="9">
        <f>IF(ISNUMBER(G21),G21,IF(ISNUMBER(H21),H21,""))</f>
        <v>70.18613567851716</v>
      </c>
      <c r="K21" s="10">
        <f>IF(AND(ISNUMBER(E21),ISNUMBER(J21),J21&gt;0),E21/J21*Referenz,"")</f>
        <v/>
      </c>
      <c r="L21">
        <f>COUNT(K$4:K21)</f>
        <v>10</v>
      </c>
      <c r="M21" s="10">
        <f>IF(NOT(ISNUMBER(K21)),"",IF(L21&gt;=Fenster,AVERAGEIFS(K$4:K21,L$4:L21,"&gt;"&amp;(L21-Fenster)),IF(AND(Duenn_nVelocity,L21&gt;=3),AVERAGE(K$4:K21),"")))</f>
        <v/>
      </c>
      <c r="N21" s="10">
        <f>IF(ISNUMBER(M21),"",IF(Duenn_nVelocity,IF(ISNUMBER(O20),O20,""),IF(ISNUMBER(O20),O20,"")))</f>
        <v>16.002319094216062</v>
      </c>
      <c r="O21" s="10">
        <f>IF(ISNUMBER(M21),M21,IF(ISNUMBER(N21),N21,""))</f>
        <v>16.002319094216062</v>
      </c>
      <c r="P21">
        <f>COUNT(J$4:J21)</f>
        <v>18</v>
      </c>
      <c r="Q21" s="10">
        <f>IF(NOT(ISNUMBER(J21)),"",IF(P21&gt;=Fenster,AVERAGEIFS(J$4:J21,P$4:P21,"&gt;"&amp;(P21-Fenster)),IF(AND(Duenn_Kapazitaet,P21&gt;=3),AVERAGE(J$4:J21),"")))</f>
        <v>68.40101945738559</v>
      </c>
      <c r="R21" s="10">
        <f>IF(ISNUMBER(Q21),"",IF(Duenn_Kapazitaet,IF(ISNUMBER(S20),S20,""),IF(ISNUMBER(S20),S20,"")))</f>
        <v/>
      </c>
      <c r="S21" s="10">
        <f>IF(ISNUMBER(Q21),Q21,IF(ISNUMBER(R21),R21,""))</f>
        <v>68.40101945738559</v>
      </c>
      <c r="T21" s="9">
        <f>IF(ISNUMBER(J21),J21,R21)</f>
        <v>70.18613567851716</v>
      </c>
      <c r="U21" s="10">
        <f>IF(AND(ISNUMBER(N21),ISNUMBER(T21)),MAX(0,ROUNDDOWN(N21/Referenz*T21,Rundung)),IF(ISNUMBER(D21),ROUNDDOWN(D21,Rundung),""))</f>
        <v>28.0</v>
      </c>
      <c r="V21" s="10">
        <f>IF(ISNUMBER(U21),U21*Roadmap_Anteil,"")</f>
        <v>22.400000000000002</v>
      </c>
      <c r="W21" s="10">
        <f>IF(ISNUMBER(U21),U21-V21,"")</f>
        <v>5.599999999999998</v>
      </c>
      <c r="X21" s="11">
        <f>IF(AND(ISNUMBER(E21),ISNUMBER(D21),D21&lt;&gt;0),E21/D21,"")</f>
        <v/>
      </c>
      <c r="Y21" s="11">
        <f>IF(AND(ISNUMBER(E21),ISNUMBER(J21),J21&gt;0),E21/J21,"")</f>
        <v/>
      </c>
      <c r="AE21" s="10">
        <f>IF(COUNTIFS('Product values'!$A$2:$A$2,A21,'Product values'!$G$2:$G$2,"&lt;&gt;")=0,"",SUMIFS('Product values'!$G$2:$G$2,'Product values'!$A$2:$A$2,A21))</f>
        <v/>
      </c>
      <c r="AF21" s="10">
        <f>IF(AND(ISNUMBER(U21),ISNUMBER(AE21)),U21-AE21,"")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39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</row>
    <row r="2" spans="1:11">
      <c r="A2" t="s">
        <v>15</v>
      </c>
      <c r="B2" s="3"/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74</v>
      </c>
      <c r="B3" s="3"/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75</v>
      </c>
      <c r="B4" s="3"/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76</v>
      </c>
      <c r="B5" s="3" t="s">
        <v>103</v>
      </c>
      <c r="C5" s="6"/>
      <c r="D5" s="6">
        <v>4</v>
      </c>
      <c r="E5" s="6">
        <v>26</v>
      </c>
      <c r="F5" s="3" t="s">
        <v>104</v>
      </c>
      <c r="G5" s="6"/>
      <c r="H5" s="6"/>
      <c r="I5" s="6"/>
      <c r="J5" s="6"/>
      <c r="K5" s="3"/>
    </row>
    <row r="6" spans="1:11">
      <c r="A6" t="s">
        <v>78</v>
      </c>
      <c r="B6" s="3" t="s">
        <v>105</v>
      </c>
      <c r="C6" s="6"/>
      <c r="D6" s="6"/>
      <c r="E6" s="6"/>
      <c r="F6" s="3"/>
      <c r="G6" s="6"/>
      <c r="H6" s="6"/>
      <c r="I6" s="6"/>
      <c r="J6" s="6"/>
      <c r="K6" s="3"/>
    </row>
    <row r="7" spans="1:11">
      <c r="A7" t="s">
        <v>80</v>
      </c>
      <c r="B7" s="3"/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81</v>
      </c>
      <c r="B8" s="3"/>
      <c r="C8" s="6"/>
      <c r="D8" s="6"/>
      <c r="E8" s="6"/>
      <c r="F8" s="3"/>
      <c r="G8" s="6"/>
      <c r="H8" s="6"/>
      <c r="I8" s="6"/>
      <c r="J8" s="6"/>
      <c r="K8" s="3"/>
    </row>
    <row r="9" spans="1:11">
      <c r="A9" t="s">
        <v>82</v>
      </c>
      <c r="B9" s="3"/>
      <c r="C9" s="6"/>
      <c r="D9" s="6"/>
      <c r="E9" s="6"/>
      <c r="F9" s="3"/>
      <c r="G9" s="6"/>
      <c r="H9" s="6"/>
      <c r="I9" s="6"/>
      <c r="J9" s="6"/>
      <c r="K9" s="3"/>
    </row>
    <row r="10" spans="1:11">
      <c r="A10" t="s">
        <v>83</v>
      </c>
      <c r="B10" s="3" t="s">
        <v>103</v>
      </c>
      <c r="C10" s="6"/>
      <c r="D10" s="6">
        <v>4</v>
      </c>
      <c r="E10" s="6">
        <v>26</v>
      </c>
      <c r="F10" s="3" t="s">
        <v>104</v>
      </c>
      <c r="G10" s="6"/>
      <c r="H10" s="6"/>
      <c r="I10" s="6"/>
      <c r="J10" s="6"/>
      <c r="K10" s="3"/>
    </row>
    <row r="11" spans="1:11">
      <c r="A11" t="s">
        <v>84</v>
      </c>
      <c r="B11" s="3" t="s">
        <v>105</v>
      </c>
      <c r="C11" s="6"/>
      <c r="D11" s="6"/>
      <c r="E11" s="6"/>
      <c r="F11" s="3"/>
      <c r="G11" s="6"/>
      <c r="H11" s="6"/>
      <c r="I11" s="6"/>
      <c r="J11" s="6"/>
      <c r="K11" s="3"/>
    </row>
    <row r="12" spans="1:11">
      <c r="A12" t="s">
        <v>85</v>
      </c>
      <c r="B12" s="3"/>
      <c r="C12" s="6"/>
      <c r="D12" s="6"/>
      <c r="E12" s="6"/>
      <c r="F12" s="3"/>
      <c r="G12" s="6"/>
      <c r="H12" s="6"/>
      <c r="I12" s="6"/>
      <c r="J12" s="6"/>
      <c r="K12" s="3"/>
    </row>
    <row r="13" spans="1:11">
      <c r="A13" t="s">
        <v>86</v>
      </c>
      <c r="B13" s="3"/>
      <c r="C13" s="6"/>
      <c r="D13" s="6"/>
      <c r="E13" s="6"/>
      <c r="F13" s="3"/>
      <c r="G13" s="6"/>
      <c r="H13" s="6"/>
      <c r="I13" s="6"/>
      <c r="J13" s="6"/>
      <c r="K13" s="3"/>
    </row>
    <row r="14" spans="1:11">
      <c r="A14" t="s">
        <v>87</v>
      </c>
      <c r="B14" s="3"/>
      <c r="C14" s="6"/>
      <c r="D14" s="6"/>
      <c r="E14" s="6"/>
      <c r="F14" s="3"/>
      <c r="G14" s="6"/>
      <c r="H14" s="6"/>
      <c r="I14" s="6"/>
      <c r="J14" s="6"/>
      <c r="K14" s="3"/>
    </row>
    <row r="15" spans="1:11">
      <c r="A15" t="s">
        <v>88</v>
      </c>
      <c r="B15" s="3"/>
      <c r="C15" s="6"/>
      <c r="D15" s="6"/>
      <c r="E15" s="6"/>
      <c r="F15" s="3"/>
      <c r="G15" s="6"/>
      <c r="H15" s="6"/>
      <c r="I15" s="6"/>
      <c r="J15" s="6"/>
      <c r="K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39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15</v>
      </c>
      <c r="B2" t="s">
        <v>110</v>
      </c>
      <c r="C2" t="s">
        <v>111</v>
      </c>
      <c r="D2" s="6">
        <v>3</v>
      </c>
      <c r="E2" t="s">
        <v>112</v>
      </c>
    </row>
    <row r="3" spans="1:5">
      <c r="A3" t="s">
        <v>15</v>
      </c>
      <c r="B3" t="s">
        <v>113</v>
      </c>
      <c r="C3" t="s">
        <v>114</v>
      </c>
      <c r="D3" s="6">
        <v>1.5</v>
      </c>
      <c r="E3" t="s">
        <v>112</v>
      </c>
    </row>
    <row r="4" spans="1:5">
      <c r="A4" t="s">
        <v>15</v>
      </c>
      <c r="B4" t="s">
        <v>115</v>
      </c>
      <c r="C4" t="s">
        <v>116</v>
      </c>
      <c r="D4" s="6">
        <v>2</v>
      </c>
      <c r="E4" t="s">
        <v>112</v>
      </c>
    </row>
    <row r="5" spans="1:5">
      <c r="A5" t="s">
        <v>75</v>
      </c>
      <c r="B5" t="s">
        <v>117</v>
      </c>
      <c r="C5" t="s">
        <v>118</v>
      </c>
      <c r="D5" s="6">
        <v>1</v>
      </c>
      <c r="E5" t="s">
        <v>112</v>
      </c>
    </row>
    <row r="6" spans="1:5">
      <c r="A6" t="s">
        <v>76</v>
      </c>
      <c r="B6" t="s">
        <v>110</v>
      </c>
      <c r="C6" t="s">
        <v>111</v>
      </c>
      <c r="D6" s="6">
        <v>2</v>
      </c>
      <c r="E6" t="s">
        <v>119</v>
      </c>
    </row>
    <row r="7" spans="1:5">
      <c r="A7" t="s">
        <v>76</v>
      </c>
      <c r="B7" t="s">
        <v>120</v>
      </c>
      <c r="C7" t="s">
        <v>121</v>
      </c>
      <c r="D7" s="6">
        <v>1</v>
      </c>
      <c r="E7" t="s">
        <v>119</v>
      </c>
    </row>
    <row r="8" spans="1:5">
      <c r="A8" t="s">
        <v>80</v>
      </c>
      <c r="B8" t="s">
        <v>110</v>
      </c>
      <c r="C8" t="s">
        <v>111</v>
      </c>
      <c r="D8" s="6">
        <v>3</v>
      </c>
      <c r="E8" t="s">
        <v>112</v>
      </c>
    </row>
    <row r="9" spans="1:5">
      <c r="A9" t="s">
        <v>80</v>
      </c>
      <c r="B9" t="s">
        <v>113</v>
      </c>
      <c r="C9" t="s">
        <v>114</v>
      </c>
      <c r="D9" s="6">
        <v>1.5</v>
      </c>
      <c r="E9" t="s">
        <v>112</v>
      </c>
    </row>
    <row r="10" spans="1:5">
      <c r="A10" t="s">
        <v>80</v>
      </c>
      <c r="B10" t="s">
        <v>115</v>
      </c>
      <c r="C10" t="s">
        <v>116</v>
      </c>
      <c r="D10" s="6">
        <v>2</v>
      </c>
      <c r="E10" t="s">
        <v>112</v>
      </c>
    </row>
    <row r="11" spans="1:5">
      <c r="A11" t="s">
        <v>82</v>
      </c>
      <c r="B11" t="s">
        <v>117</v>
      </c>
      <c r="C11" t="s">
        <v>118</v>
      </c>
      <c r="D11" s="6">
        <v>1</v>
      </c>
      <c r="E11" t="s">
        <v>112</v>
      </c>
    </row>
    <row r="12" spans="1:5">
      <c r="A12" t="s">
        <v>83</v>
      </c>
      <c r="B12" t="s">
        <v>110</v>
      </c>
      <c r="C12" t="s">
        <v>111</v>
      </c>
      <c r="D12" s="6">
        <v>2</v>
      </c>
      <c r="E12" t="s">
        <v>119</v>
      </c>
    </row>
    <row r="13" spans="1:5">
      <c r="A13" t="s">
        <v>83</v>
      </c>
      <c r="B13" t="s">
        <v>120</v>
      </c>
      <c r="C13" t="s">
        <v>121</v>
      </c>
      <c r="D13" s="6">
        <v>1</v>
      </c>
      <c r="E13" t="s">
        <v>119</v>
      </c>
    </row>
    <row r="14" spans="1:5">
      <c r="A14" t="s">
        <v>85</v>
      </c>
      <c r="B14" t="s">
        <v>110</v>
      </c>
      <c r="C14" t="s">
        <v>111</v>
      </c>
      <c r="D14" s="6">
        <v>3</v>
      </c>
      <c r="E14" t="s">
        <v>112</v>
      </c>
    </row>
    <row r="15" spans="1:5">
      <c r="A15" t="s">
        <v>85</v>
      </c>
      <c r="B15" t="s">
        <v>113</v>
      </c>
      <c r="C15" t="s">
        <v>114</v>
      </c>
      <c r="D15" s="6">
        <v>1.5</v>
      </c>
      <c r="E15" t="s">
        <v>112</v>
      </c>
    </row>
    <row r="16" spans="1:5">
      <c r="A16" t="s">
        <v>85</v>
      </c>
      <c r="B16" t="s">
        <v>115</v>
      </c>
      <c r="C16" t="s">
        <v>116</v>
      </c>
      <c r="D16" s="6">
        <v>2</v>
      </c>
      <c r="E16" t="s">
        <v>112</v>
      </c>
    </row>
    <row r="17" spans="1:5">
      <c r="A17" t="s">
        <v>87</v>
      </c>
      <c r="B17" t="s">
        <v>115</v>
      </c>
      <c r="C17" t="s">
        <v>116</v>
      </c>
      <c r="D17" s="6">
        <v>3</v>
      </c>
      <c r="E17" t="s">
        <v>119</v>
      </c>
    </row>
    <row r="18" spans="1:5">
      <c r="A18" t="s">
        <v>88</v>
      </c>
      <c r="B18" t="s">
        <v>115</v>
      </c>
      <c r="C18" t="s">
        <v>116</v>
      </c>
      <c r="D18" s="6">
        <v>3</v>
      </c>
      <c r="E18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122</v>
      </c>
      <c r="B1" s="2" t="s">
        <v>107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</row>
    <row r="2" spans="1:9">
      <c r="A2" s="3" t="s">
        <v>110</v>
      </c>
      <c r="B2" s="3" t="s">
        <v>111</v>
      </c>
      <c r="C2" s="3"/>
      <c r="D2" s="3"/>
      <c r="E2" s="3"/>
      <c r="F2" s="3"/>
      <c r="G2" s="12">
        <v>45658</v>
      </c>
      <c r="H2" s="12"/>
      <c r="I2" s="6">
        <v>1</v>
      </c>
    </row>
    <row r="3" spans="1:9">
      <c r="A3" s="3" t="s">
        <v>113</v>
      </c>
      <c r="B3" s="3" t="s">
        <v>114</v>
      </c>
      <c r="C3" s="3"/>
      <c r="D3" s="3"/>
      <c r="E3" s="3"/>
      <c r="F3" s="3"/>
      <c r="G3" s="12">
        <v>45658</v>
      </c>
      <c r="H3" s="12">
        <v>46265</v>
      </c>
      <c r="I3" s="6">
        <v>1</v>
      </c>
    </row>
    <row r="4" spans="1:9">
      <c r="A4" s="3" t="s">
        <v>113</v>
      </c>
      <c r="B4" s="3" t="s">
        <v>114</v>
      </c>
      <c r="C4" s="3"/>
      <c r="D4" s="3"/>
      <c r="E4" s="3"/>
      <c r="F4" s="3"/>
      <c r="G4" s="12">
        <v>46266</v>
      </c>
      <c r="H4" s="12"/>
      <c r="I4" s="6">
        <v>0.5</v>
      </c>
    </row>
    <row r="5" spans="1:9">
      <c r="A5" s="3" t="s">
        <v>115</v>
      </c>
      <c r="B5" s="3" t="s">
        <v>116</v>
      </c>
      <c r="C5" s="3"/>
      <c r="D5" s="3" t="s">
        <v>130</v>
      </c>
      <c r="E5" s="3"/>
      <c r="F5" s="3"/>
      <c r="G5" s="12">
        <v>45658</v>
      </c>
      <c r="H5" s="12"/>
      <c r="I5" s="6">
        <v>1</v>
      </c>
    </row>
    <row r="6" spans="1:9">
      <c r="A6" s="3" t="s">
        <v>117</v>
      </c>
      <c r="B6" s="3" t="s">
        <v>118</v>
      </c>
      <c r="C6" s="3" t="s">
        <v>131</v>
      </c>
      <c r="D6" s="3" t="s">
        <v>132</v>
      </c>
      <c r="E6" s="3"/>
      <c r="F6" s="3"/>
      <c r="G6" s="12">
        <v>45809</v>
      </c>
      <c r="H6" s="12"/>
      <c r="I6" s="6">
        <v>1</v>
      </c>
    </row>
    <row r="7" spans="1:9">
      <c r="A7" s="3" t="s">
        <v>133</v>
      </c>
      <c r="B7" s="3" t="s">
        <v>134</v>
      </c>
      <c r="C7" s="3" t="s">
        <v>135</v>
      </c>
      <c r="D7" s="3"/>
      <c r="E7" s="3"/>
      <c r="F7" s="3"/>
      <c r="G7" s="12">
        <v>45809</v>
      </c>
      <c r="H7" s="12"/>
      <c r="I7" s="6">
        <v>0.8</v>
      </c>
    </row>
    <row r="8" spans="1:9">
      <c r="A8" s="3" t="s">
        <v>136</v>
      </c>
      <c r="B8" s="3" t="s">
        <v>137</v>
      </c>
      <c r="C8" s="3" t="s">
        <v>138</v>
      </c>
      <c r="D8" s="3"/>
      <c r="E8" s="3"/>
      <c r="F8" s="3"/>
      <c r="G8" s="12">
        <v>46023</v>
      </c>
      <c r="H8" s="12"/>
      <c r="I8" s="6">
        <v>1</v>
      </c>
    </row>
    <row r="9" spans="1:9">
      <c r="A9" s="3" t="s">
        <v>120</v>
      </c>
      <c r="B9" s="3" t="s">
        <v>121</v>
      </c>
      <c r="C9" s="3"/>
      <c r="D9" s="3"/>
      <c r="E9" s="3" t="s">
        <v>139</v>
      </c>
      <c r="F9" s="3"/>
      <c r="G9" s="12">
        <v>45658</v>
      </c>
      <c r="H9" s="12"/>
      <c r="I9" s="6">
        <v>1</v>
      </c>
    </row>
    <row r="10" spans="1:9">
      <c r="A10" s="3" t="s">
        <v>140</v>
      </c>
      <c r="B10" s="3" t="s">
        <v>141</v>
      </c>
      <c r="C10" s="3"/>
      <c r="D10" s="3"/>
      <c r="E10" s="3" t="s">
        <v>142</v>
      </c>
      <c r="F10" s="3"/>
      <c r="G10" s="12">
        <v>45658</v>
      </c>
      <c r="H10" s="12"/>
      <c r="I10" s="6">
        <v>1</v>
      </c>
    </row>
    <row r="11" spans="1:9">
      <c r="A11" s="3" t="s">
        <v>143</v>
      </c>
      <c r="B11" s="3" t="s">
        <v>144</v>
      </c>
      <c r="C11" s="3"/>
      <c r="D11" s="3"/>
      <c r="E11" s="3"/>
      <c r="F11" s="3" t="b">
        <v>1</v>
      </c>
      <c r="G11" s="12">
        <v>45658</v>
      </c>
      <c r="H11" s="12">
        <v>46387</v>
      </c>
      <c r="I11" s="6">
        <v>1</v>
      </c>
    </row>
    <row r="12" spans="1:9">
      <c r="A12" s="3" t="s">
        <v>145</v>
      </c>
      <c r="B12" s="3" t="s">
        <v>146</v>
      </c>
      <c r="C12" s="3"/>
      <c r="D12" s="3"/>
      <c r="E12" s="3"/>
      <c r="F12" s="3" t="b">
        <v>1</v>
      </c>
      <c r="G12" s="12">
        <v>46280</v>
      </c>
      <c r="H12" s="12"/>
      <c r="I12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122</v>
      </c>
      <c r="B1" s="2" t="s">
        <v>107</v>
      </c>
      <c r="C1" s="2" t="s">
        <v>147</v>
      </c>
      <c r="D1" s="2" t="s">
        <v>148</v>
      </c>
      <c r="E1" s="2" t="s">
        <v>149</v>
      </c>
      <c r="F1" s="2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39</v>
      </c>
      <c r="B1" s="2" t="s">
        <v>158</v>
      </c>
      <c r="C1" s="2" t="s">
        <v>159</v>
      </c>
      <c r="D1" s="2" t="s">
        <v>147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39</v>
      </c>
      <c r="B1" s="2" t="s">
        <v>151</v>
      </c>
      <c r="C1" s="2" t="s">
        <v>152</v>
      </c>
      <c r="D1" s="2" t="s">
        <v>42</v>
      </c>
      <c r="E1" s="2" t="s">
        <v>153</v>
      </c>
      <c r="F1" s="2" t="s">
        <v>99</v>
      </c>
      <c r="G1" s="2" t="s">
        <v>154</v>
      </c>
      <c r="H1" s="2" t="s">
        <v>155</v>
      </c>
      <c r="I1" s="2" t="s">
        <v>156</v>
      </c>
      <c r="J1" s="2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7" width="16.7109375" customWidth="1"/>
  </cols>
  <sheetData>
    <row r="1" spans="1:7">
      <c r="A1" s="2" t="s">
        <v>39</v>
      </c>
      <c r="B1" s="2" t="s">
        <v>49</v>
      </c>
      <c r="C1" s="2" t="s">
        <v>51</v>
      </c>
      <c r="D1" s="2" t="s">
        <v>52</v>
      </c>
      <c r="E1" s="2" t="s">
        <v>156</v>
      </c>
      <c r="F1" s="2" t="s">
        <v>168</v>
      </c>
      <c r="G1" s="2" t="s">
        <v>169</v>
      </c>
    </row>
    <row r="2" spans="1:7">
      <c r="A2" t="str">
        <f>'Forecast'!A4</f>
        <v>2026.14</v>
      </c>
      <c r="B2">
        <f>IF(ISNUMBER('Forecast'!K4),'Forecast'!K4,NA())</f>
        <v>16.068866571018653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30.0</v>
      </c>
      <c r="F2">
        <f>IF(ISNUMBER('Forecast'!E4),'Forecast'!E4,NA())</f>
        <v>28.0</v>
      </c>
      <c r="G2">
        <f>IF(ISNUMBER('Forecast'!D4),'Forecast'!D4,NA())</f>
        <v>30.0</v>
      </c>
    </row>
    <row r="3" spans="1:7">
      <c r="A3" t="str">
        <f>'Forecast'!A5</f>
        <v>2026.15</v>
      </c>
      <c r="B3">
        <f>IF(ISNUMBER('Forecast'!K5),'Forecast'!K5,NA())</f>
        <v>15.544041450777202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31.0</v>
      </c>
      <c r="F3">
        <f>IF(ISNUMBER('Forecast'!E5),'Forecast'!E5,NA())</f>
        <v>30.0</v>
      </c>
      <c r="G3">
        <f>IF(ISNUMBER('Forecast'!D5),'Forecast'!D5,NA())</f>
        <v>31.0</v>
      </c>
    </row>
    <row r="4" spans="1:7">
      <c r="A4" t="str">
        <f>'Forecast'!A6</f>
        <v>2026.16</v>
      </c>
      <c r="B4">
        <f>IF(ISNUMBER('Forecast'!K6),'Forecast'!K6,NA())</f>
        <v>14.173228346456693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30.0</v>
      </c>
      <c r="F4">
        <f>IF(ISNUMBER('Forecast'!E6),'Forecast'!E6,NA())</f>
        <v>27.0</v>
      </c>
      <c r="G4">
        <f>IF(ISNUMBER('Forecast'!D6),'Forecast'!D6,NA())</f>
        <v>30.0</v>
      </c>
    </row>
    <row r="5" spans="1:7">
      <c r="A5" t="str">
        <f>'Forecast'!A7</f>
        <v>2026.17</v>
      </c>
      <c r="B5">
        <f>IF(ISNUMBER('Forecast'!K7),'Forecast'!K7,NA())</f>
        <v>17.78975741239892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34.0</v>
      </c>
      <c r="F5">
        <f>IF(ISNUMBER('Forecast'!E7),'Forecast'!E7,NA())</f>
        <v>33.0</v>
      </c>
      <c r="G5">
        <f>IF(ISNUMBER('Forecast'!D7),'Forecast'!D7,NA())</f>
        <v>34.0</v>
      </c>
    </row>
    <row r="6" spans="1:7">
      <c r="A6" t="str">
        <f>'Forecast'!A8</f>
        <v>2026.18</v>
      </c>
      <c r="B6">
        <f>IF(ISNUMBER('Forecast'!K8),'Forecast'!K8,NA())</f>
        <v>17.234600238864665</v>
      </c>
      <c r="C6">
        <f>IF(ISNUMBER('Forecast'!M8),'Forecast'!M8,NA())</f>
        <v>16.162098803903227</v>
      </c>
      <c r="D6" t="e">
        <f>IF(ISNUMBER('Forecast'!N8),'Forecast'!N8,NA())</f>
        <v>#N/A</v>
      </c>
      <c r="E6">
        <f>IF(ISNUMBER('Forecast'!U8),'Forecast'!U8,NA())</f>
        <v>32.0</v>
      </c>
      <c r="F6">
        <f>IF(ISNUMBER('Forecast'!E8),'Forecast'!E8,NA())</f>
        <v>31.0</v>
      </c>
      <c r="G6">
        <f>IF(ISNUMBER('Forecast'!D8),'Forecast'!D8,NA())</f>
        <v>32.0</v>
      </c>
    </row>
    <row r="7" spans="1:7">
      <c r="A7" t="str">
        <f>'Forecast'!A9</f>
        <v>2026.19</v>
      </c>
      <c r="B7">
        <f>IF(ISNUMBER('Forecast'!K9),'Forecast'!K9,NA())</f>
        <v>16.122307157748438</v>
      </c>
      <c r="C7">
        <f>IF(ISNUMBER('Forecast'!M9),'Forecast'!M9,NA())</f>
        <v>16.172786921249184</v>
      </c>
      <c r="D7" t="e">
        <f>IF(ISNUMBER('Forecast'!N9),'Forecast'!N9,NA())</f>
        <v>#N/A</v>
      </c>
      <c r="E7">
        <f>IF(ISNUMBER('Forecast'!U9),'Forecast'!U9,NA())</f>
        <v>30.0</v>
      </c>
      <c r="F7">
        <f>IF(ISNUMBER('Forecast'!E9),'Forecast'!E9,NA())</f>
        <v>29.0</v>
      </c>
      <c r="G7">
        <f>IF(ISNUMBER('Forecast'!D9),'Forecast'!D9,NA())</f>
        <v>30.0</v>
      </c>
    </row>
    <row r="8" spans="1:7">
      <c r="A8" t="str">
        <f>'Forecast'!A10</f>
        <v>2026.20</v>
      </c>
      <c r="B8">
        <f>IF(ISNUMBER('Forecast'!K10),'Forecast'!K10,NA())</f>
        <v>18.252933507170795</v>
      </c>
      <c r="C8">
        <f>IF(ISNUMBER('Forecast'!M10),'Forecast'!M10,NA())</f>
        <v>16.714565332527904</v>
      </c>
      <c r="D8" t="e">
        <f>IF(ISNUMBER('Forecast'!N10),'Forecast'!N10,NA())</f>
        <v>#N/A</v>
      </c>
      <c r="E8">
        <f>IF(ISNUMBER('Forecast'!U10),'Forecast'!U10,NA())</f>
        <v>36.0</v>
      </c>
      <c r="F8">
        <f>IF(ISNUMBER('Forecast'!E10),'Forecast'!E10,NA())</f>
        <v>35.0</v>
      </c>
      <c r="G8">
        <f>IF(ISNUMBER('Forecast'!D10),'Forecast'!D10,NA())</f>
        <v>36.0</v>
      </c>
    </row>
    <row r="9" spans="1:7">
      <c r="A9" t="str">
        <f>'Forecast'!A11</f>
        <v>2026.21</v>
      </c>
      <c r="B9">
        <f>IF(ISNUMBER('Forecast'!K11),'Forecast'!K11,NA())</f>
        <v>15.018773466833542</v>
      </c>
      <c r="C9">
        <f>IF(ISNUMBER('Forecast'!M11),'Forecast'!M11,NA())</f>
        <v>16.883674356603272</v>
      </c>
      <c r="D9" t="e">
        <f>IF(ISNUMBER('Forecast'!N11),'Forecast'!N11,NA())</f>
        <v>#N/A</v>
      </c>
      <c r="E9">
        <f>IF(ISNUMBER('Forecast'!U11),'Forecast'!U11,NA())</f>
        <v>31.0</v>
      </c>
      <c r="F9">
        <f>IF(ISNUMBER('Forecast'!E11),'Forecast'!E11,NA())</f>
        <v>30.0</v>
      </c>
      <c r="G9">
        <f>IF(ISNUMBER('Forecast'!D11),'Forecast'!D11,NA())</f>
        <v>31.0</v>
      </c>
    </row>
    <row r="10" spans="1:7">
      <c r="A10" t="str">
        <f>'Forecast'!A12</f>
        <v>2026.22</v>
      </c>
      <c r="B10">
        <f>IF(ISNUMBER('Forecast'!K12),'Forecast'!K12,NA())</f>
        <v>14.414414414414413</v>
      </c>
      <c r="C10">
        <f>IF(ISNUMBER('Forecast'!M12),'Forecast'!M12,NA())</f>
        <v>16.20860575700637</v>
      </c>
      <c r="D10" t="e">
        <f>IF(ISNUMBER('Forecast'!N12),'Forecast'!N12,NA())</f>
        <v>#N/A</v>
      </c>
      <c r="E10">
        <f>IF(ISNUMBER('Forecast'!U12),'Forecast'!U12,NA())</f>
        <v>30.0</v>
      </c>
      <c r="F10">
        <f>IF(ISNUMBER('Forecast'!E12),'Forecast'!E12,NA())</f>
        <v>28.0</v>
      </c>
      <c r="G10">
        <f>IF(ISNUMBER('Forecast'!D12),'Forecast'!D12,NA())</f>
        <v>30.0</v>
      </c>
    </row>
    <row r="11" spans="1:7">
      <c r="A11" t="str">
        <f>'Forecast'!A13</f>
        <v>2026.23</v>
      </c>
      <c r="B11">
        <f>IF(ISNUMBER('Forecast'!K13),'Forecast'!K13,NA())</f>
        <v>16.20316692491312</v>
      </c>
      <c r="C11">
        <f>IF(ISNUMBER('Forecast'!M13),'Forecast'!M13,NA())</f>
        <v>16.002319094216062</v>
      </c>
      <c r="D11" t="e">
        <f>IF(ISNUMBER('Forecast'!N13),'Forecast'!N13,NA())</f>
        <v>#N/A</v>
      </c>
      <c r="E11">
        <f>IF(ISNUMBER('Forecast'!U13),'Forecast'!U13,NA())</f>
        <v>33.0</v>
      </c>
      <c r="F11">
        <f>IF(ISNUMBER('Forecast'!E13),'Forecast'!E13,NA())</f>
        <v>32.0</v>
      </c>
      <c r="G11">
        <f>IF(ISNUMBER('Forecast'!D13),'Forecast'!D13,NA())</f>
        <v>33.0</v>
      </c>
    </row>
    <row r="12" spans="1:7">
      <c r="A12" t="str">
        <f>'Forecast'!A14</f>
        <v>2026.24</v>
      </c>
      <c r="B12" t="e">
        <f>IF(ISNUMBER('Forecast'!K14),'Forecast'!K14,NA())</f>
        <v>#N/A</v>
      </c>
      <c r="C12" t="e">
        <f>IF(ISNUMBER('Forecast'!M14),'Forecast'!M14,NA())</f>
        <v>#N/A</v>
      </c>
      <c r="D12">
        <f>IF(ISNUMBER('Forecast'!N14),'Forecast'!N14,NA())</f>
        <v>16.002319094216062</v>
      </c>
      <c r="E12">
        <f>IF(ISNUMBER('Forecast'!U14),'Forecast'!U14,NA())</f>
        <v>29.5</v>
      </c>
      <c r="F12" t="e">
        <f>IF(ISNUMBER('Forecast'!E14),'Forecast'!E14,NA())</f>
        <v>#N/A</v>
      </c>
      <c r="G12">
        <f>IF(ISNUMBER('Forecast'!D14),'Forecast'!D14,NA())</f>
        <v>30.0</v>
      </c>
    </row>
    <row r="13" spans="1:7">
      <c r="A13" t="str">
        <f>'Forecast'!A15</f>
        <v>2026.25</v>
      </c>
      <c r="B13" t="e">
        <f>IF(ISNUMBER('Forecast'!K15),'Forecast'!K15,NA())</f>
        <v>#N/A</v>
      </c>
      <c r="C13" t="e">
        <f>IF(ISNUMBER('Forecast'!M15),'Forecast'!M15,NA())</f>
        <v>#N/A</v>
      </c>
      <c r="D13">
        <f>IF(ISNUMBER('Forecast'!N15),'Forecast'!N15,NA())</f>
        <v>16.002319094216062</v>
      </c>
      <c r="E13">
        <f>IF(ISNUMBER('Forecast'!U15),'Forecast'!U15,NA())</f>
        <v>32.6</v>
      </c>
      <c r="F13" t="e">
        <f>IF(ISNUMBER('Forecast'!E15),'Forecast'!E15,NA())</f>
        <v>#N/A</v>
      </c>
      <c r="G13">
        <f>IF(ISNUMBER('Forecast'!D15),'Forecast'!D15,NA())</f>
        <v>29.0</v>
      </c>
    </row>
    <row r="14" spans="1:7">
      <c r="A14" t="str">
        <f>'Forecast'!A16</f>
        <v>2026.26</v>
      </c>
      <c r="B14" t="e">
        <f>IF(ISNUMBER('Forecast'!K16),'Forecast'!K16,NA())</f>
        <v>#N/A</v>
      </c>
      <c r="C14" t="e">
        <f>IF(ISNUMBER('Forecast'!M16),'Forecast'!M16,NA())</f>
        <v>#N/A</v>
      </c>
      <c r="D14">
        <f>IF(ISNUMBER('Forecast'!N16),'Forecast'!N16,NA())</f>
        <v>16.002319094216062</v>
      </c>
      <c r="E14">
        <f>IF(ISNUMBER('Forecast'!U16),'Forecast'!U16,NA())</f>
        <v>29.2</v>
      </c>
      <c r="F14" t="e">
        <f>IF(ISNUMBER('Forecast'!E16),'Forecast'!E16,NA())</f>
        <v>#N/A</v>
      </c>
      <c r="G14" t="e">
        <f>IF(ISNUMBER('Forecast'!D16),'Forecast'!D16,NA())</f>
        <v>#N/A</v>
      </c>
    </row>
    <row r="15" spans="1:7">
      <c r="A15" t="str">
        <f>'Forecast'!A17</f>
        <v>2026.27</v>
      </c>
      <c r="B15" t="e">
        <f>IF(ISNUMBER('Forecast'!K17),'Forecast'!K17,NA())</f>
        <v>#N/A</v>
      </c>
      <c r="C15" t="e">
        <f>IF(ISNUMBER('Forecast'!M17),'Forecast'!M17,NA())</f>
        <v>#N/A</v>
      </c>
      <c r="D15">
        <f>IF(ISNUMBER('Forecast'!N17),'Forecast'!N17,NA())</f>
        <v>16.002319094216062</v>
      </c>
      <c r="E15">
        <f>IF(ISNUMBER('Forecast'!U17),'Forecast'!U17,NA())</f>
        <v>25.7</v>
      </c>
      <c r="F15" t="e">
        <f>IF(ISNUMBER('Forecast'!E17),'Forecast'!E17,NA())</f>
        <v>#N/A</v>
      </c>
      <c r="G15" t="e">
        <f>IF(ISNUMBER('Forecast'!D17),'Forecast'!D17,NA())</f>
        <v>#N/A</v>
      </c>
    </row>
    <row r="16" spans="1:7">
      <c r="A16" t="str">
        <f>'Forecast'!A18</f>
        <v>2027.1</v>
      </c>
      <c r="B16" t="e">
        <f>IF(ISNUMBER('Forecast'!K18),'Forecast'!K18,NA())</f>
        <v>#N/A</v>
      </c>
      <c r="C16" t="e">
        <f>IF(ISNUMBER('Forecast'!M18),'Forecast'!M18,NA())</f>
        <v>#N/A</v>
      </c>
      <c r="D16">
        <f>IF(ISNUMBER('Forecast'!N18),'Forecast'!N18,NA())</f>
        <v>16.002319094216062</v>
      </c>
      <c r="E16">
        <f>IF(ISNUMBER('Forecast'!U18),'Forecast'!U18,NA())</f>
        <v>28.0</v>
      </c>
      <c r="F16" t="e">
        <f>IF(ISNUMBER('Forecast'!E18),'Forecast'!E18,NA())</f>
        <v>#N/A</v>
      </c>
      <c r="G16" t="e">
        <f>IF(ISNUMBER('Forecast'!D18),'Forecast'!D18,NA())</f>
        <v>#N/A</v>
      </c>
    </row>
    <row r="17" spans="1:7">
      <c r="A17" t="str">
        <f>'Forecast'!A19</f>
        <v>2027.2</v>
      </c>
      <c r="B17" t="e">
        <f>IF(ISNUMBER('Forecast'!K19),'Forecast'!K19,NA())</f>
        <v>#N/A</v>
      </c>
      <c r="C17" t="e">
        <f>IF(ISNUMBER('Forecast'!M19),'Forecast'!M19,NA())</f>
        <v>#N/A</v>
      </c>
      <c r="D17">
        <f>IF(ISNUMBER('Forecast'!N19),'Forecast'!N19,NA())</f>
        <v>16.002319094216062</v>
      </c>
      <c r="E17">
        <f>IF(ISNUMBER('Forecast'!U19),'Forecast'!U19,NA())</f>
        <v>27.5</v>
      </c>
      <c r="F17" t="e">
        <f>IF(ISNUMBER('Forecast'!E19),'Forecast'!E19,NA())</f>
        <v>#N/A</v>
      </c>
      <c r="G17" t="e">
        <f>IF(ISNUMBER('Forecast'!D19),'Forecast'!D19,NA())</f>
        <v>#N/A</v>
      </c>
    </row>
    <row r="18" spans="1:7">
      <c r="A18" t="str">
        <f>'Forecast'!A20</f>
        <v>2027.3</v>
      </c>
      <c r="B18" t="e">
        <f>IF(ISNUMBER('Forecast'!K20),'Forecast'!K20,NA())</f>
        <v>#N/A</v>
      </c>
      <c r="C18" t="e">
        <f>IF(ISNUMBER('Forecast'!M20),'Forecast'!M20,NA())</f>
        <v>#N/A</v>
      </c>
      <c r="D18">
        <f>IF(ISNUMBER('Forecast'!N20),'Forecast'!N20,NA())</f>
        <v>16.002319094216062</v>
      </c>
      <c r="E18">
        <f>IF(ISNUMBER('Forecast'!U20),'Forecast'!U20,NA())</f>
        <v>27.3</v>
      </c>
      <c r="F18" t="e">
        <f>IF(ISNUMBER('Forecast'!E20),'Forecast'!E20,NA())</f>
        <v>#N/A</v>
      </c>
      <c r="G18" t="e">
        <f>IF(ISNUMBER('Forecast'!D20),'Forecast'!D20,NA())</f>
        <v>#N/A</v>
      </c>
    </row>
    <row r="19" spans="1:7">
      <c r="A19" t="str">
        <f>'Forecast'!A21</f>
        <v>2027.4</v>
      </c>
      <c r="B19" t="e">
        <f>IF(ISNUMBER('Forecast'!K21),'Forecast'!K21,NA())</f>
        <v>#N/A</v>
      </c>
      <c r="C19" t="e">
        <f>IF(ISNUMBER('Forecast'!M21),'Forecast'!M21,NA())</f>
        <v>#N/A</v>
      </c>
      <c r="D19">
        <f>IF(ISNUMBER('Forecast'!N21),'Forecast'!N21,NA())</f>
        <v>16.002319094216062</v>
      </c>
      <c r="E19">
        <f>IF(ISNUMBER('Forecast'!U21),'Forecast'!U21,NA())</f>
        <v>28.0</v>
      </c>
      <c r="F19" t="e">
        <f>IF(ISNUMBER('Forecast'!E21),'Forecast'!E21,NA())</f>
        <v>#N/A</v>
      </c>
      <c r="G19" t="e">
        <f>IF(ISNUMBER('Forecast'!D21),'Forecast'!D21,NA())</f>
        <v>#N/A</v>
      </c>
    </row>
  </sheetData>
  <conditionalFormatting sqref="B2:G19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people-days</vt:lpwstr>
  </property>
</Properties>
</file>