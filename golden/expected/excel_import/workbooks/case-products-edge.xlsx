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<sst xmlns="http://schemas.openxmlformats.org/spreadsheetml/2006/main" count="491" uniqueCount="176">
  <si>
    <t>Settings of Golden products-edge</t>
  </si>
  <si>
    <t>Label</t>
  </si>
  <si>
    <t>Value</t>
  </si>
  <si>
    <t>Key (team.yaml)</t>
  </si>
  <si>
    <t>name</t>
  </si>
  <si>
    <t>Golden products-edge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</si>
  <si>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</si>
  <si>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</si>
  <si>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</si>
  <si>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</si>
  <si>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</si>
  <si>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</si>
  <si>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</si>
  <si>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</si>
  <si>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</si>
  <si>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</si>
  <si>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</si>
  <si>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</si>
  <si>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</si>
  <si>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</si>
  <si>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</si>
  <si>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</si>
  <si>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</si>
  <si>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</si>
  <si>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</si>
  <si>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</si>
  <si>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</si>
  <si>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</si>
  <si>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</si>
  <si>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forecast.product_basis</t>
  </si>
  <si>
    <t>roadmap</t>
  </si>
  <si>
    <t>capacity.overhead_share</t>
  </si>
  <si>
    <t>capacity.rounding</t>
  </si>
  <si>
    <t>Current status</t>
  </si>
  <si>
    <t>24.06.2026</t>
  </si>
  <si>
    <t>Yellow cells are inputs (settings and sprint values); all other cells are formulas. The trend mode is fixed in the formulas.</t>
  </si>
  <si>
    <t>Forecast Golden products-edge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</si>
  <si>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</si>
  <si>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</si>
  <si>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</si>
  <si>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</si>
  <si>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</si>
  <si>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</si>
  <si>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</si>
  <si>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</si>
  <si>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</si>
  <si>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</si>
  <si>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</si>
  <si>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</si>
  <si>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</si>
  <si>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</si>
  <si>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</si>
  <si>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</si>
  <si>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</si>
  <si>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</si>
  <si>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</si>
  <si>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</si>
  <si>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</si>
  <si>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</si>
  <si>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</si>
  <si>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</si>
  <si>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</si>
  <si>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</si>
  <si>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</si>
  <si>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</si>
  <si>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</si>
  <si>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</si>
  <si>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</si>
  <si>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</si>
  <si>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</si>
  <si>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</si>
  <si>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</si>
  <si>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</si>
  <si>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</si>
  <si>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</si>
  <si>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</si>
  <si>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</si>
  <si>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</si>
  <si>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</si>
  <si>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Calendar, absences unknown</t>
  </si>
  <si>
    <t>2026.8</t>
  </si>
  <si>
    <t>2026.9</t>
  </si>
  <si>
    <t>2026.10</t>
  </si>
  <si>
    <t>2026.11</t>
  </si>
  <si>
    <t>2026.12</t>
  </si>
  <si>
    <t>2026.13</t>
  </si>
  <si>
    <t>2026.14</t>
  </si>
  <si>
    <t>2026.15</t>
  </si>
  <si>
    <t>2026.16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</si>
  <si>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</si>
  <si>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</si>
  <si>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</si>
  <si>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</si>
  <si>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</si>
  <si>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</si>
  <si>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</si>
  <si>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</si>
  <si>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</si>
  <si>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</si>
  <si>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</si>
  <si>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</si>
  <si>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</si>
  <si>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</si>
  <si>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</si>
  <si>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</si>
  <si>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</si>
  <si>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</si>
  <si>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</si>
  <si>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</si>
  <si>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</si>
  <si>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</si>
  <si>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</si>
  <si>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anna</t>
  </si>
  <si>
    <t>Anna</t>
  </si>
  <si>
    <t>ben</t>
  </si>
  <si>
    <t>Ben</t>
  </si>
  <si>
    <t>cem</t>
  </si>
  <si>
    <t>Cem</t>
  </si>
  <si>
    <t>BY</t>
  </si>
  <si>
    <t>dana</t>
  </si>
  <si>
    <t>Dana</t>
  </si>
  <si>
    <t>US</t>
  </si>
  <si>
    <t>CA</t>
  </si>
  <si>
    <t>eli</t>
  </si>
  <si>
    <t>Eli</t>
  </si>
  <si>
    <t>CN</t>
  </si>
  <si>
    <t>fadi</t>
  </si>
  <si>
    <t>Fadi</t>
  </si>
  <si>
    <t>SA</t>
  </si>
  <si>
    <t>gina</t>
  </si>
  <si>
    <t>Gina</t>
  </si>
  <si>
    <t>mon,tue,wed,thu</t>
  </si>
  <si>
    <t>hugo</t>
  </si>
  <si>
    <t>Hugo</t>
  </si>
  <si>
    <t>sun-thu</t>
  </si>
  <si>
    <t>ines</t>
  </si>
  <si>
    <t>Ines</t>
  </si>
  <si>
    <t>jonas</t>
  </si>
  <si>
    <t>Jonas</t>
  </si>
  <si>
    <t>PO</t>
  </si>
  <si>
    <t>Handled from</t>
  </si>
  <si>
    <t>Handled until</t>
  </si>
  <si>
    <t>Fixed share (0–1)</t>
  </si>
  <si>
    <t>web</t>
  </si>
  <si>
    <t>Web</t>
  </si>
  <si>
    <t>Alex</t>
  </si>
  <si>
    <t>app</t>
  </si>
  <si>
    <t>App</t>
  </si>
  <si>
    <t>api</t>
  </si>
  <si>
    <t>API</t>
  </si>
  <si>
    <t>Bea</t>
  </si>
  <si>
    <t>old</t>
  </si>
  <si>
    <t>Old</t>
  </si>
  <si>
    <t>new</t>
  </si>
  <si>
    <t>New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</si>
  <si>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</si>
  <si>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</si>
  <si>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</si>
  <si>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</si>
  <si>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</si>
  <si>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</si>
  <si>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</si>
  <si>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</si>
  <si>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</si>
  <si>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</si>
  <si>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</si>
  <si>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</si>
  <si>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</si>
  <si>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</si>
  <si>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</si>
  <si>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</si>
  <si>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</si>
  <si>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aa</t>
  </si>
  <si>
    <t>zz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</si>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</sst>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'Trend'!$B$2:$B$17</c:f>
              <c:numCache>
                <c:formatCode>General</c:formatCode>
                <c:ptCount val="16"/>
                <c:pt idx="0">
                  <c:v>30.0</c:v>
                </c:pt>
                <c:pt idx="1">
                  <c:v>30.909090909090907</c:v>
                </c:pt>
                <c:pt idx="2">
                  <c:v>29.473684210526315</c:v>
                </c:pt>
                <c:pt idx="3">
                  <c:v>34.285714285714285</c:v>
                </c:pt>
                <c:pt idx="4">
                  <c:v>33.0</c:v>
                </c:pt>
                <c:pt idx="5">
                  <c:v>30.24390243902439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'Trend'!$C$2:$C$17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31.533697881066303</c:v>
                </c:pt>
                <c:pt idx="5">
                  <c:v>31.582478368871183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31.582478368871183</c:v>
                </c:pt>
                <c:pt idx="7">
                  <c:v>31.582478368871183</c:v>
                </c:pt>
                <c:pt idx="8">
                  <c:v>31.582478368871183</c:v>
                </c:pt>
                <c:pt idx="9">
                  <c:v>31.582478368871183</c:v>
                </c:pt>
                <c:pt idx="10">
                  <c:v>31.582478368871183</c:v>
                </c:pt>
                <c:pt idx="11">
                  <c:v>31.582478368871183</c:v>
                </c:pt>
                <c:pt idx="12">
                  <c:v>31.582478368871183</c:v>
                </c:pt>
                <c:pt idx="13">
                  <c:v>31.582478368871183</c:v>
                </c:pt>
                <c:pt idx="14">
                  <c:v>31.582478368871183</c:v>
                </c:pt>
                <c:pt idx="15">
                  <c:v>31.582478368871183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'Trend'!$E$2:$E$17</c:f>
              <c:numCache>
                <c:formatCode>General</c:formatCode>
                <c:ptCount val="16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34.0</c:v>
                </c:pt>
                <c:pt idx="5">
                  <c:v>32.0</c:v>
                </c:pt>
                <c:pt idx="6">
                  <c:v>53.0</c:v>
                </c:pt>
                <c:pt idx="7">
                  <c:v>60.0</c:v>
                </c:pt>
                <c:pt idx="8">
                  <c:v>55.7</c:v>
                </c:pt>
                <c:pt idx="9">
                  <c:v>50.5</c:v>
                </c:pt>
                <c:pt idx="10">
                  <c:v>56.8</c:v>
                </c:pt>
                <c:pt idx="11">
                  <c:v>58.5</c:v>
                </c:pt>
                <c:pt idx="12">
                  <c:v>59.2</c:v>
                </c:pt>
                <c:pt idx="13">
                  <c:v>60.0</c:v>
                </c:pt>
                <c:pt idx="14">
                  <c:v>60.0</c:v>
                </c:pt>
                <c:pt idx="15">
                  <c:v>60.0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'Trend'!$F$2:$F$17</c:f>
              <c:numCache>
                <c:formatCode>General</c:formatCode>
                <c:ptCount val="16"/>
                <c:pt idx="0">
                  <c:v>30.0</c:v>
                </c:pt>
                <c:pt idx="1">
                  <c:v>34.0</c:v>
                </c:pt>
                <c:pt idx="2">
                  <c:v>28.0</c:v>
                </c:pt>
                <c:pt idx="3">
                  <c:v>36.0</c:v>
                </c:pt>
                <c:pt idx="4">
                  <c:v>33.0</c:v>
                </c:pt>
                <c:pt idx="5">
                  <c:v>31.0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'Trend'!$A$2:$A$17</c:f>
              <c:numCache>
                <c:formatCode>General</c:formatCode>
                <c:ptCount val="16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</c:numCache>
            </c:numRef>
          </c:cat>
          <c:val>
            <c:numRef>
              <c:f>'Trend'!$G$2:$G$17</c:f>
              <c:numCache>
                <c:formatCode>General</c:formatCode>
                <c:ptCount val="16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34.0</c:v>
                </c:pt>
                <c:pt idx="5">
                  <c:v>32.0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1</v>
      </c>
      <c r="C5" s="4" t="s">
        <v>8</v>
      </c>
    </row>
    <row r="6" spans="1:3">
      <c r="A6" t="s">
        <v>9</v>
      </c>
      <c r="B6" s="3" t="b">
        <v>1</v>
      </c>
      <c r="C6" s="4" t="s">
        <v>9</v>
      </c>
    </row>
    <row r="7" spans="1:3">
      <c r="A7" t="s">
        <v>10</v>
      </c>
      <c r="B7" s="3" t="b">
        <v>1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0.75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3</v>
      </c>
      <c r="C17" s="4" t="s">
        <v>28</v>
      </c>
    </row>
    <row r="18" spans="1:3">
      <c r="A18" t="s">
        <v>29</v>
      </c>
      <c r="B18" s="3" t="s">
        <v>30</v>
      </c>
      <c r="C18" s="4" t="s">
        <v>29</v>
      </c>
    </row>
    <row r="19" spans="1:3">
      <c r="A19" t="s">
        <v>31</v>
      </c>
      <c r="B19" s="3">
        <v>0</v>
      </c>
      <c r="C19" s="4" t="s">
        <v>31</v>
      </c>
    </row>
    <row r="20" spans="1:3">
      <c r="A20" t="s">
        <v>32</v>
      </c>
      <c r="B20" s="3">
        <v>1</v>
      </c>
      <c r="C20" s="4" t="s">
        <v>32</v>
      </c>
    </row>
    <row r="22" spans="1:3">
      <c r="A22" t="s">
        <v>70</v>
      </c>
      <c r="B22" t="b">
        <f>AND(COUNT('Forecast'!$K$4:$K$19)&gt;=3,COUNT('Forecast'!$K$4:$K$19)&lt;Fenster)</f>
        <v>0</v>
      </c>
    </row>
    <row r="23" spans="1:3">
      <c r="A23" t="s">
        <v>71</v>
      </c>
      <c r="B23" t="b">
        <f>AND(COUNT('Forecast'!$J$4:$J$19)&gt;=3,COUNT('Forecast'!$J$4:$J$19)&lt;Fenster)</f>
        <v>0</v>
      </c>
    </row>
    <row r="25" spans="1:3">
      <c r="A25" t="s">
        <v>33</v>
      </c>
      <c r="B25" t="s">
        <v>34</v>
      </c>
    </row>
    <row r="27" spans="1:3">
      <c r="A2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36</v>
      </c>
    </row>
    <row r="2" spans="1:32">
      <c r="A2" t="s">
        <v>37</v>
      </c>
    </row>
    <row r="3" spans="1:32" ht="60" customHeight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69</v>
      </c>
    </row>
    <row r="4" spans="1:32">
      <c r="A4" t="s">
        <v>15</v>
      </c>
      <c r="B4" s="5">
        <v>46029</v>
      </c>
      <c r="C4" s="5">
        <v>46043</v>
      </c>
      <c r="D4" s="6">
        <v>32</v>
      </c>
      <c r="E4" s="6">
        <v>30</v>
      </c>
      <c r="F4" s="7"/>
      <c r="G4" s="8">
        <v>40</v>
      </c>
      <c r="I4" t="s">
        <v>72</v>
      </c>
      <c r="J4" s="9">
        <f>IF(ISNUMBER(G4),G4,IF(ISNUMBER(H4),H4,""))</f>
        <v>40.0</v>
      </c>
      <c r="K4" s="10">
        <f>IF(AND(ISNUMBER(E4),ISNUMBER(J4),J4&gt;0),E4/J4*Referenz,"")</f>
        <v>30.0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32.0</v>
      </c>
      <c r="V4" s="10">
        <f>IF(ISNUMBER(U4),U4*Roadmap_Anteil,"")</f>
        <v>24.0</v>
      </c>
      <c r="W4" s="10">
        <f>IF(ISNUMBER(U4),U4-V4,"")</f>
        <v>8.0</v>
      </c>
      <c r="X4" s="11">
        <f>IF(AND(ISNUMBER(E4),ISNUMBER(D4),D4&lt;&gt;0),E4/D4,"")</f>
        <v>0.9375</v>
      </c>
      <c r="Y4" s="11">
        <f>IF(AND(ISNUMBER(E4),ISNUMBER(J4),J4&gt;0),E4/J4,"")</f>
        <v>0.75</v>
      </c>
      <c r="Z4" s="11">
        <v>0.1176470588235294</v>
      </c>
      <c r="AA4" s="9">
        <f>IF(ISNUMBER(T4),T4*Z4,"")</f>
        <v>4.705882352941177</v>
      </c>
      <c r="AB4" s="9">
        <f>IF(ISNUMBER(T4),T4*(1-Z4),"")</f>
        <v>35.294117647058826</v>
      </c>
      <c r="AC4" s="10">
        <f>IF(ISNUMBER(U4),U4*Z4,"")</f>
        <v>3.764705882352941</v>
      </c>
      <c r="AD4" s="10">
        <f>IF(ISNUMBER(U4),U4*(1-Z4),"")</f>
        <v>28.235294117647058</v>
      </c>
      <c r="AE4" s="10">
        <f>IF(COUNTIFS('Product values'!$A$2:$A$69,A4,'Product values'!$G$2:$G$69,"&lt;&gt;")=0,"",SUMIFS('Product values'!$G$2:$G$69,'Product values'!$A$2:$A$69,A4))</f>
        <v>26.5</v>
      </c>
      <c r="AF4" s="10">
        <f>IF(AND(ISNUMBER(U4),ISNUMBER(AE4)),U4-AE4,"")</f>
        <v>5.5</v>
      </c>
    </row>
    <row r="5" spans="1:32">
      <c r="A5" t="s">
        <v>73</v>
      </c>
      <c r="B5" s="5">
        <v>46043</v>
      </c>
      <c r="C5" s="5">
        <v>46057</v>
      </c>
      <c r="D5" s="6">
        <v>35</v>
      </c>
      <c r="E5" s="6">
        <v>34</v>
      </c>
      <c r="F5" s="7"/>
      <c r="G5" s="8">
        <v>44</v>
      </c>
      <c r="I5" t="s">
        <v>72</v>
      </c>
      <c r="J5" s="9">
        <f>IF(ISNUMBER(G5),G5,IF(ISNUMBER(H5),H5,""))</f>
        <v>44.0</v>
      </c>
      <c r="K5" s="10">
        <f>IF(AND(ISNUMBER(E5),ISNUMBER(J5),J5&gt;0),E5/J5*Referenz,"")</f>
        <v>30.909090909090907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44.0</v>
      </c>
      <c r="U5" s="10">
        <f>IF(AND(ISNUMBER(N5),ISNUMBER(T5)),MAX(0,ROUNDDOWN(N5/Referenz*T5,Rundung)),IF(ISNUMBER(D5),ROUNDDOWN(D5,Rundung),""))</f>
        <v>35.0</v>
      </c>
      <c r="V5" s="10">
        <f>IF(ISNUMBER(U5),U5*Roadmap_Anteil,"")</f>
        <v>26.25</v>
      </c>
      <c r="W5" s="10">
        <f>IF(ISNUMBER(U5),U5-V5,"")</f>
        <v>8.75</v>
      </c>
      <c r="X5" s="11">
        <f>IF(AND(ISNUMBER(E5),ISNUMBER(D5),D5&lt;&gt;0),E5/D5,"")</f>
        <v>0.9714285714285714</v>
      </c>
      <c r="Y5" s="11">
        <f>IF(AND(ISNUMBER(E5),ISNUMBER(J5),J5&gt;0),E5/J5,"")</f>
        <v>0.7727272727272727</v>
      </c>
      <c r="Z5" s="11">
        <v>0.1162790697674419</v>
      </c>
      <c r="AA5" s="9">
        <f>IF(ISNUMBER(T5),T5*Z5,"")</f>
        <v>5.116279069767442</v>
      </c>
      <c r="AB5" s="9">
        <f>IF(ISNUMBER(T5),T5*(1-Z5),"")</f>
        <v>38.883720930232556</v>
      </c>
      <c r="AC5" s="10">
        <f>IF(ISNUMBER(U5),U5*Z5,"")</f>
        <v>4.069767441860465</v>
      </c>
      <c r="AD5" s="10">
        <f>IF(ISNUMBER(U5),U5*(1-Z5),"")</f>
        <v>30.930232558139537</v>
      </c>
      <c r="AE5" s="10">
        <f>IF(COUNTIFS('Product values'!$A$2:$A$69,A5,'Product values'!$G$2:$G$69,"&lt;&gt;")=0,"",SUMIFS('Product values'!$G$2:$G$69,'Product values'!$A$2:$A$69,A5))</f>
        <v>27.0</v>
      </c>
      <c r="AF5" s="10">
        <f>IF(AND(ISNUMBER(U5),ISNUMBER(AE5)),U5-AE5,"")</f>
        <v>8.0</v>
      </c>
    </row>
    <row r="6" spans="1:32">
      <c r="A6" t="s">
        <v>74</v>
      </c>
      <c r="B6" s="5">
        <v>46057</v>
      </c>
      <c r="C6" s="5">
        <v>46071</v>
      </c>
      <c r="D6" s="6">
        <v>33</v>
      </c>
      <c r="E6" s="6">
        <v>28</v>
      </c>
      <c r="F6" s="7"/>
      <c r="G6" s="8">
        <v>38</v>
      </c>
      <c r="I6" t="s">
        <v>72</v>
      </c>
      <c r="J6" s="9">
        <f>IF(ISNUMBER(G6),G6,IF(ISNUMBER(H6),H6,""))</f>
        <v>38.0</v>
      </c>
      <c r="K6" s="10">
        <f>IF(AND(ISNUMBER(E6),ISNUMBER(J6),J6&gt;0),E6/J6*Referenz,"")</f>
        <v>29.473684210526315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38.0</v>
      </c>
      <c r="U6" s="10">
        <f>IF(AND(ISNUMBER(N6),ISNUMBER(T6)),MAX(0,ROUNDDOWN(N6/Referenz*T6,Rundung)),IF(ISNUMBER(D6),ROUNDDOWN(D6,Rundung),""))</f>
        <v>33.0</v>
      </c>
      <c r="V6" s="10">
        <f>IF(ISNUMBER(U6),U6*Roadmap_Anteil,"")</f>
        <v>24.75</v>
      </c>
      <c r="W6" s="10">
        <f>IF(ISNUMBER(U6),U6-V6,"")</f>
        <v>8.25</v>
      </c>
      <c r="X6" s="11">
        <f>IF(AND(ISNUMBER(E6),ISNUMBER(D6),D6&lt;&gt;0),E6/D6,"")</f>
        <v>0.8484848484848485</v>
      </c>
      <c r="Y6" s="11">
        <f>IF(AND(ISNUMBER(E6),ISNUMBER(J6),J6&gt;0),E6/J6,"")</f>
        <v>0.7368421052631579</v>
      </c>
      <c r="Z6" s="11">
        <v>0.1199040767386091</v>
      </c>
      <c r="AA6" s="9">
        <f>IF(ISNUMBER(T6),T6*Z6,"")</f>
        <v>4.5563549160671455</v>
      </c>
      <c r="AB6" s="9">
        <f>IF(ISNUMBER(T6),T6*(1-Z6),"")</f>
        <v>33.44364508393285</v>
      </c>
      <c r="AC6" s="10">
        <f>IF(ISNUMBER(U6),U6*Z6,"")</f>
        <v>3.9568345323741005</v>
      </c>
      <c r="AD6" s="10">
        <f>IF(ISNUMBER(U6),U6*(1-Z6),"")</f>
        <v>29.043165467625897</v>
      </c>
      <c r="AE6" s="10">
        <f>IF(COUNTIFS('Product values'!$A$2:$A$69,A6,'Product values'!$G$2:$G$69,"&lt;&gt;")=0,"",SUMIFS('Product values'!$G$2:$G$69,'Product values'!$A$2:$A$69,A6))</f>
        <v>18.0</v>
      </c>
      <c r="AF6" s="10">
        <f>IF(AND(ISNUMBER(U6),ISNUMBER(AE6)),U6-AE6,"")</f>
        <v>15.0</v>
      </c>
    </row>
    <row r="7" spans="1:32">
      <c r="A7" t="s">
        <v>75</v>
      </c>
      <c r="B7" s="5">
        <v>46071</v>
      </c>
      <c r="C7" s="5">
        <v>46085</v>
      </c>
      <c r="D7" s="6">
        <v>36</v>
      </c>
      <c r="E7" s="6">
        <v>36</v>
      </c>
      <c r="F7" s="7"/>
      <c r="G7" s="8">
        <v>42</v>
      </c>
      <c r="I7" t="s">
        <v>72</v>
      </c>
      <c r="J7" s="9">
        <f>IF(ISNUMBER(G7),G7,IF(ISNUMBER(H7),H7,""))</f>
        <v>42.0</v>
      </c>
      <c r="K7" s="10">
        <f>IF(AND(ISNUMBER(E7),ISNUMBER(J7),J7&gt;0),E7/J7*Referenz,"")</f>
        <v>34.285714285714285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42.0</v>
      </c>
      <c r="U7" s="10">
        <f>IF(AND(ISNUMBER(N7),ISNUMBER(T7)),MAX(0,ROUNDDOWN(N7/Referenz*T7,Rundung)),IF(ISNUMBER(D7),ROUNDDOWN(D7,Rundung),""))</f>
        <v>36.0</v>
      </c>
      <c r="V7" s="10">
        <f>IF(ISNUMBER(U7),U7*Roadmap_Anteil,"")</f>
        <v>27.0</v>
      </c>
      <c r="W7" s="10">
        <f>IF(ISNUMBER(U7),U7-V7,"")</f>
        <v>9.0</v>
      </c>
      <c r="X7" s="11">
        <f>IF(AND(ISNUMBER(E7),ISNUMBER(D7),D7&lt;&gt;0),E7/D7,"")</f>
        <v>1.0</v>
      </c>
      <c r="Y7" s="11">
        <f>IF(AND(ISNUMBER(E7),ISNUMBER(J7),J7&gt;0),E7/J7,"")</f>
        <v>0.8571428571428571</v>
      </c>
      <c r="Z7" s="11">
        <v>0.1222493887530562</v>
      </c>
      <c r="AA7" s="9">
        <f>IF(ISNUMBER(T7),T7*Z7,"")</f>
        <v>5.134474327628363</v>
      </c>
      <c r="AB7" s="9">
        <f>IF(ISNUMBER(T7),T7*(1-Z7),"")</f>
        <v>36.86552567237164</v>
      </c>
      <c r="AC7" s="10">
        <f>IF(ISNUMBER(U7),U7*Z7,"")</f>
        <v>4.400977995110025</v>
      </c>
      <c r="AD7" s="10">
        <f>IF(ISNUMBER(U7),U7*(1-Z7),"")</f>
        <v>31.599022004889974</v>
      </c>
      <c r="AE7" s="10">
        <f>IF(COUNTIFS('Product values'!$A$2:$A$69,A7,'Product values'!$G$2:$G$69,"&lt;&gt;")=0,"",SUMIFS('Product values'!$G$2:$G$69,'Product values'!$A$2:$A$69,A7))</f>
        <v/>
      </c>
      <c r="AF7" s="10">
        <f>IF(AND(ISNUMBER(U7),ISNUMBER(AE7)),U7-AE7,"")</f>
        <v/>
      </c>
    </row>
    <row r="8" spans="1:32">
      <c r="A8" t="s">
        <v>76</v>
      </c>
      <c r="B8" s="5">
        <v>46085</v>
      </c>
      <c r="C8" s="5">
        <v>46099</v>
      </c>
      <c r="D8" s="6">
        <v>34</v>
      </c>
      <c r="E8" s="6">
        <v>33</v>
      </c>
      <c r="F8" s="7"/>
      <c r="G8" s="8">
        <v>40</v>
      </c>
      <c r="I8" t="s">
        <v>72</v>
      </c>
      <c r="J8" s="9">
        <f>IF(ISNUMBER(G8),G8,IF(ISNUMBER(H8),H8,""))</f>
        <v>40.0</v>
      </c>
      <c r="K8" s="10">
        <f>IF(AND(ISNUMBER(E8),ISNUMBER(J8),J8&gt;0),E8/J8*Referenz,"")</f>
        <v>33.0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31.533697881066303</v>
      </c>
      <c r="N8" s="10">
        <f>IF(ISNUMBER(M8),"",IF(Duenn_nVelocity,IF(ISNUMBER(O7),O7,""),IF(ISNUMBER(O7),O7,"")))</f>
        <v/>
      </c>
      <c r="O8" s="10">
        <f>IF(ISNUMBER(M8),M8,IF(ISNUMBER(N8),N8,""))</f>
        <v>31.533697881066303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40.8</v>
      </c>
      <c r="R8" s="10">
        <f>IF(ISNUMBER(Q8),"",IF(Duenn_Kapazitaet,IF(ISNUMBER(S7),S7,""),IF(ISNUMBER(S7),S7,"")))</f>
        <v/>
      </c>
      <c r="S8" s="10">
        <f>IF(ISNUMBER(Q8),Q8,IF(ISNUMBER(R8),R8,""))</f>
        <v>40.8</v>
      </c>
      <c r="T8" s="9">
        <f>IF(ISNUMBER(J8),J8,R8)</f>
        <v>40.0</v>
      </c>
      <c r="U8" s="10">
        <f>IF(AND(ISNUMBER(N8),ISNUMBER(T8)),MAX(0,ROUNDDOWN(N8/Referenz*T8,Rundung)),IF(ISNUMBER(D8),ROUNDDOWN(D8,Rundung),""))</f>
        <v>34.0</v>
      </c>
      <c r="V8" s="10">
        <f>IF(ISNUMBER(U8),U8*Roadmap_Anteil,"")</f>
        <v>25.5</v>
      </c>
      <c r="W8" s="10">
        <f>IF(ISNUMBER(U8),U8-V8,"")</f>
        <v>8.5</v>
      </c>
      <c r="X8" s="11">
        <f>IF(AND(ISNUMBER(E8),ISNUMBER(D8),D8&lt;&gt;0),E8/D8,"")</f>
        <v>0.9705882352941176</v>
      </c>
      <c r="Y8" s="11">
        <f>IF(AND(ISNUMBER(E8),ISNUMBER(J8),J8&gt;0),E8/J8,"")</f>
        <v>0.825</v>
      </c>
      <c r="Z8" s="11">
        <v>0.1162790697674419</v>
      </c>
      <c r="AA8" s="9">
        <f>IF(ISNUMBER(T8),T8*Z8,"")</f>
        <v>4.651162790697675</v>
      </c>
      <c r="AB8" s="9">
        <f>IF(ISNUMBER(T8),T8*(1-Z8),"")</f>
        <v>35.348837209302324</v>
      </c>
      <c r="AC8" s="10">
        <f>IF(ISNUMBER(U8),U8*Z8,"")</f>
        <v>3.953488372093023</v>
      </c>
      <c r="AD8" s="10">
        <f>IF(ISNUMBER(U8),U8*(1-Z8),"")</f>
        <v>30.046511627906977</v>
      </c>
      <c r="AE8" s="10">
        <f>IF(COUNTIFS('Product values'!$A$2:$A$69,A8,'Product values'!$G$2:$G$69,"&lt;&gt;")=0,"",SUMIFS('Product values'!$G$2:$G$69,'Product values'!$A$2:$A$69,A8))</f>
        <v/>
      </c>
      <c r="AF8" s="10">
        <f>IF(AND(ISNUMBER(U8),ISNUMBER(AE8)),U8-AE8,"")</f>
        <v/>
      </c>
    </row>
    <row r="9" spans="1:32">
      <c r="A9" t="s">
        <v>77</v>
      </c>
      <c r="B9" s="5">
        <v>46099</v>
      </c>
      <c r="C9" s="5">
        <v>46113</v>
      </c>
      <c r="D9" s="6">
        <v>32</v>
      </c>
      <c r="E9" s="6">
        <v>31</v>
      </c>
      <c r="F9" s="7"/>
      <c r="G9" s="8">
        <v>41</v>
      </c>
      <c r="I9" t="s">
        <v>72</v>
      </c>
      <c r="J9" s="9">
        <f>IF(ISNUMBER(G9),G9,IF(ISNUMBER(H9),H9,""))</f>
        <v>41.0</v>
      </c>
      <c r="K9" s="10">
        <f>IF(AND(ISNUMBER(E9),ISNUMBER(J9),J9&gt;0),E9/J9*Referenz,"")</f>
        <v>30.24390243902439</v>
      </c>
      <c r="L9">
        <f>COUNT(K$4:K9)</f>
        <v>6</v>
      </c>
      <c r="M9" s="10">
        <f>IF(NOT(ISNUMBER(K9)),"",IF(L9&gt;=Fenster,AVERAGEIFS(K$4:K9,L$4:L9,"&gt;"&amp;(L9-Fenster)),IF(AND(Duenn_nVelocity,L9&gt;=3),AVERAGE(K$4:K9),"")))</f>
        <v>31.582478368871183</v>
      </c>
      <c r="N9" s="10">
        <f>IF(ISNUMBER(M9),"",IF(Duenn_nVelocity,IF(ISNUMBER(O8),O8,""),IF(ISNUMBER(O8),O8,"")))</f>
        <v/>
      </c>
      <c r="O9" s="10">
        <f>IF(ISNUMBER(M9),M9,IF(ISNUMBER(N9),N9,""))</f>
        <v>31.582478368871183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41.0</v>
      </c>
      <c r="R9" s="10">
        <f>IF(ISNUMBER(Q9),"",IF(Duenn_Kapazitaet,IF(ISNUMBER(S8),S8,""),IF(ISNUMBER(S8),S8,"")))</f>
        <v/>
      </c>
      <c r="S9" s="10">
        <f>IF(ISNUMBER(Q9),Q9,IF(ISNUMBER(R9),R9,""))</f>
        <v>41.0</v>
      </c>
      <c r="T9" s="9">
        <f>IF(ISNUMBER(J9),J9,R9)</f>
        <v>41.0</v>
      </c>
      <c r="U9" s="10">
        <f>IF(AND(ISNUMBER(N9),ISNUMBER(T9)),MAX(0,ROUNDDOWN(N9/Referenz*T9,Rundung)),IF(ISNUMBER(D9),ROUNDDOWN(D9,Rundung),""))</f>
        <v>32.0</v>
      </c>
      <c r="V9" s="10">
        <f>IF(ISNUMBER(U9),U9*Roadmap_Anteil,"")</f>
        <v>24.0</v>
      </c>
      <c r="W9" s="10">
        <f>IF(ISNUMBER(U9),U9-V9,"")</f>
        <v>8.0</v>
      </c>
      <c r="X9" s="11">
        <f>IF(AND(ISNUMBER(E9),ISNUMBER(D9),D9&lt;&gt;0),E9/D9,"")</f>
        <v>0.96875</v>
      </c>
      <c r="Y9" s="11">
        <f>IF(AND(ISNUMBER(E9),ISNUMBER(J9),J9&gt;0),E9/J9,"")</f>
        <v>0.7560975609756098</v>
      </c>
      <c r="Z9" s="11">
        <v>0.04054054054054054</v>
      </c>
      <c r="AA9" s="9">
        <f>IF(ISNUMBER(T9),T9*Z9,"")</f>
        <v>1.6621621621621623</v>
      </c>
      <c r="AB9" s="9">
        <f>IF(ISNUMBER(T9),T9*(1-Z9),"")</f>
        <v>39.33783783783784</v>
      </c>
      <c r="AC9" s="10">
        <f>IF(ISNUMBER(U9),U9*Z9,"")</f>
        <v>1.2972972972972974</v>
      </c>
      <c r="AD9" s="10">
        <f>IF(ISNUMBER(U9),U9*(1-Z9),"")</f>
        <v>30.7027027027027</v>
      </c>
      <c r="AE9" s="10">
        <f>IF(COUNTIFS('Product values'!$A$2:$A$69,A9,'Product values'!$G$2:$G$69,"&lt;&gt;")=0,"",SUMIFS('Product values'!$G$2:$G$69,'Product values'!$A$2:$A$69,A9))</f>
        <v/>
      </c>
      <c r="AF9" s="10">
        <f>IF(AND(ISNUMBER(U9),ISNUMBER(AE9)),U9-AE9,"")</f>
        <v/>
      </c>
    </row>
    <row r="10" spans="1:32">
      <c r="A10" t="s">
        <v>78</v>
      </c>
      <c r="B10" s="5">
        <v>46113</v>
      </c>
      <c r="C10" s="5">
        <v>46127</v>
      </c>
      <c r="D10" s="6"/>
      <c r="E10" s="6"/>
      <c r="F10" s="7"/>
      <c r="G10" s="8"/>
      <c r="H10" s="9">
        <v>67.2</v>
      </c>
      <c r="I10" t="s">
        <v>79</v>
      </c>
      <c r="J10" s="9">
        <f>IF(ISNUMBER(G10),G10,IF(ISNUMBER(H10),H10,""))</f>
        <v>67.2</v>
      </c>
      <c r="K10" s="10">
        <f>IF(AND(ISNUMBER(E10),ISNUMBER(J10),J10&gt;0),E10/J10*Referenz,"")</f>
        <v/>
      </c>
      <c r="L10">
        <f>COUNT(K$4:K10)</f>
        <v>6</v>
      </c>
      <c r="M10" s="10">
        <f>IF(NOT(ISNUMBER(K10)),"",IF(L10&gt;=Fenster,AVERAGEIFS(K$4:K10,L$4:L10,"&gt;"&amp;(L10-Fenster)),IF(AND(Duenn_nVelocity,L10&gt;=3),AVERAGE(K$4:K10),"")))</f>
        <v/>
      </c>
      <c r="N10" s="10">
        <f>IF(ISNUMBER(M10),"",IF(Duenn_nVelocity,IF(ISNUMBER(O9),O9,""),IF(ISNUMBER(O9),O9,"")))</f>
        <v>31.582478368871183</v>
      </c>
      <c r="O10" s="10">
        <f>IF(ISNUMBER(M10),M10,IF(ISNUMBER(N10),N10,""))</f>
        <v>31.582478368871183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45.64</v>
      </c>
      <c r="R10" s="10">
        <f>IF(ISNUMBER(Q10),"",IF(Duenn_Kapazitaet,IF(ISNUMBER(S9),S9,""),IF(ISNUMBER(S9),S9,"")))</f>
        <v/>
      </c>
      <c r="S10" s="10">
        <f>IF(ISNUMBER(Q10),Q10,IF(ISNUMBER(R10),R10,""))</f>
        <v>45.64</v>
      </c>
      <c r="T10" s="9">
        <f>IF(ISNUMBER(J10),J10,R10)</f>
        <v>67.2</v>
      </c>
      <c r="U10" s="10">
        <f>IF(AND(ISNUMBER(N10),ISNUMBER(T10)),MAX(0,ROUNDDOWN(N10/Referenz*T10,Rundung)),IF(ISNUMBER(D10),ROUNDDOWN(D10,Rundung),""))</f>
        <v>53.0</v>
      </c>
      <c r="V10" s="10">
        <f>IF(ISNUMBER(U10),U10*Roadmap_Anteil,"")</f>
        <v>39.75</v>
      </c>
      <c r="W10" s="10">
        <f>IF(ISNUMBER(U10),U10-V10,"")</f>
        <v>13.25</v>
      </c>
      <c r="X10" s="11">
        <f>IF(AND(ISNUMBER(E10),ISNUMBER(D10),D10&lt;&gt;0),E10/D10,"")</f>
        <v/>
      </c>
      <c r="Y10" s="11">
        <f>IF(AND(ISNUMBER(E10),ISNUMBER(J10),J10&gt;0),E10/J10,"")</f>
        <v/>
      </c>
      <c r="AE10" s="10">
        <f>IF(COUNTIFS('Product values'!$A$2:$A$69,A10,'Product values'!$G$2:$G$69,"&lt;&gt;")=0,"",SUMIFS('Product values'!$G$2:$G$69,'Product values'!$A$2:$A$69,A10))</f>
        <v/>
      </c>
      <c r="AF10" s="10">
        <f>IF(AND(ISNUMBER(U10),ISNUMBER(AE10)),U10-AE10,"")</f>
        <v/>
      </c>
    </row>
    <row r="11" spans="1:32">
      <c r="A11" t="s">
        <v>80</v>
      </c>
      <c r="B11" s="5">
        <v>46127</v>
      </c>
      <c r="C11" s="5">
        <v>46141</v>
      </c>
      <c r="D11" s="6"/>
      <c r="E11" s="6"/>
      <c r="F11" s="7"/>
      <c r="G11" s="8"/>
      <c r="H11" s="9">
        <v>76</v>
      </c>
      <c r="I11" t="s">
        <v>79</v>
      </c>
      <c r="J11" s="9">
        <f>IF(ISNUMBER(G11),G11,IF(ISNUMBER(H11),H11,""))</f>
        <v>76.0</v>
      </c>
      <c r="K11" s="10">
        <f>IF(AND(ISNUMBER(E11),ISNUMBER(J11),J11&gt;0),E11/J11*Referenz,"")</f>
        <v/>
      </c>
      <c r="L11">
        <f>COUNT(K$4:K11)</f>
        <v>6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IF(ISNUMBER(M11),"",IF(Duenn_nVelocity,IF(ISNUMBER(O10),O10,""),IF(ISNUMBER(O10),O10,"")))</f>
        <v>31.582478368871183</v>
      </c>
      <c r="O11" s="10">
        <f>IF(ISNUMBER(M11),M11,IF(ISNUMBER(N11),N11,""))</f>
        <v>31.582478368871183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53.239999999999995</v>
      </c>
      <c r="R11" s="10">
        <f>IF(ISNUMBER(Q11),"",IF(Duenn_Kapazitaet,IF(ISNUMBER(S10),S10,""),IF(ISNUMBER(S10),S10,"")))</f>
        <v/>
      </c>
      <c r="S11" s="10">
        <f>IF(ISNUMBER(Q11),Q11,IF(ISNUMBER(R11),R11,""))</f>
        <v>53.239999999999995</v>
      </c>
      <c r="T11" s="9">
        <f>IF(ISNUMBER(J11),J11,R11)</f>
        <v>76.0</v>
      </c>
      <c r="U11" s="10">
        <f>IF(AND(ISNUMBER(N11),ISNUMBER(T11)),MAX(0,ROUNDDOWN(N11/Referenz*T11,Rundung)),IF(ISNUMBER(D11),ROUNDDOWN(D11,Rundung),""))</f>
        <v>60.0</v>
      </c>
      <c r="V11" s="10">
        <f>IF(ISNUMBER(U11),U11*Roadmap_Anteil,"")</f>
        <v>45.0</v>
      </c>
      <c r="W11" s="10">
        <f>IF(ISNUMBER(U11),U11-V11,"")</f>
        <v>15.0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values'!$A$2:$A$69,A11,'Product values'!$G$2:$G$69,"&lt;&gt;")=0,"",SUMIFS('Product values'!$G$2:$G$69,'Product values'!$A$2:$A$69,A11))</f>
        <v/>
      </c>
      <c r="AF11" s="10">
        <f>IF(AND(ISNUMBER(U11),ISNUMBER(AE11)),U11-AE11,"")</f>
        <v/>
      </c>
    </row>
    <row r="12" spans="1:32">
      <c r="A12" t="s">
        <v>81</v>
      </c>
      <c r="B12" s="5">
        <v>46141</v>
      </c>
      <c r="C12" s="5">
        <v>46155</v>
      </c>
      <c r="D12" s="6"/>
      <c r="E12" s="6"/>
      <c r="F12" s="7"/>
      <c r="G12" s="8"/>
      <c r="H12" s="9">
        <v>70.59999999999999</v>
      </c>
      <c r="I12" t="s">
        <v>79</v>
      </c>
      <c r="J12" s="9">
        <f>IF(ISNUMBER(G12),G12,IF(ISNUMBER(H12),H12,""))</f>
        <v>70.6</v>
      </c>
      <c r="K12" s="10">
        <f>IF(AND(ISNUMBER(E12),ISNUMBER(J12),J12&gt;0),E12/J12*Referenz,"")</f>
        <v/>
      </c>
      <c r="L12">
        <f>COUNT(K$4:K12)</f>
        <v>6</v>
      </c>
      <c r="M12" s="10">
        <f>IF(NOT(ISNUMBER(K12)),"",IF(L12&gt;=Fenster,AVERAGEIFS(K$4:K12,L$4:L12,"&gt;"&amp;(L12-Fenster)),IF(AND(Duenn_nVelocity,L12&gt;=3),AVERAGE(K$4:K12),"")))</f>
        <v/>
      </c>
      <c r="N12" s="10">
        <f>IF(ISNUMBER(M12),"",IF(Duenn_nVelocity,IF(ISNUMBER(O11),O11,""),IF(ISNUMBER(O11),O11,"")))</f>
        <v>31.582478368871183</v>
      </c>
      <c r="O12" s="10">
        <f>IF(ISNUMBER(M12),M12,IF(ISNUMBER(N12),N12,""))</f>
        <v>31.582478368871183</v>
      </c>
      <c r="P12">
        <f>COUNT(J$4:J12)</f>
        <v>9</v>
      </c>
      <c r="Q12" s="10">
        <f>IF(NOT(ISNUMBER(J12)),"",IF(P12&gt;=Fenster,AVERAGEIFS(J$4:J12,P$4:P12,"&gt;"&amp;(P12-Fenster)),IF(AND(Duenn_Kapazitaet,P12&gt;=3),AVERAGE(J$4:J12),"")))</f>
        <v>58.96</v>
      </c>
      <c r="R12" s="10">
        <f>IF(ISNUMBER(Q12),"",IF(Duenn_Kapazitaet,IF(ISNUMBER(S11),S11,""),IF(ISNUMBER(S11),S11,"")))</f>
        <v/>
      </c>
      <c r="S12" s="10">
        <f>IF(ISNUMBER(Q12),Q12,IF(ISNUMBER(R12),R12,""))</f>
        <v>58.96</v>
      </c>
      <c r="T12" s="9">
        <f>IF(ISNUMBER(J12),J12,R12)</f>
        <v>70.6</v>
      </c>
      <c r="U12" s="10">
        <f>IF(AND(ISNUMBER(N12),ISNUMBER(T12)),MAX(0,ROUNDDOWN(N12/Referenz*T12,Rundung)),IF(ISNUMBER(D12),ROUNDDOWN(D12,Rundung),""))</f>
        <v>55.7</v>
      </c>
      <c r="V12" s="10">
        <f>IF(ISNUMBER(U12),U12*Roadmap_Anteil,"")</f>
        <v>41.775000000000006</v>
      </c>
      <c r="W12" s="10">
        <f>IF(ISNUMBER(U12),U12-V12,"")</f>
        <v>13.924999999999997</v>
      </c>
      <c r="X12" s="11">
        <f>IF(AND(ISNUMBER(E12),ISNUMBER(D12),D12&lt;&gt;0),E12/D12,"")</f>
        <v/>
      </c>
      <c r="Y12" s="11">
        <f>IF(AND(ISNUMBER(E12),ISNUMBER(J12),J12&gt;0),E12/J12,"")</f>
        <v/>
      </c>
      <c r="AE12" s="10">
        <f>IF(COUNTIFS('Product values'!$A$2:$A$69,A12,'Product values'!$G$2:$G$69,"&lt;&gt;")=0,"",SUMIFS('Product values'!$G$2:$G$69,'Product values'!$A$2:$A$69,A12))</f>
        <v/>
      </c>
      <c r="AF12" s="10">
        <f>IF(AND(ISNUMBER(U12),ISNUMBER(AE12)),U12-AE12,"")</f>
        <v/>
      </c>
    </row>
    <row r="13" spans="1:32">
      <c r="A13" t="s">
        <v>82</v>
      </c>
      <c r="B13" s="5">
        <v>46155</v>
      </c>
      <c r="C13" s="5">
        <v>46169</v>
      </c>
      <c r="D13" s="6"/>
      <c r="E13" s="6"/>
      <c r="F13" s="7"/>
      <c r="G13" s="8"/>
      <c r="H13" s="9">
        <v>64</v>
      </c>
      <c r="I13" t="s">
        <v>79</v>
      </c>
      <c r="J13" s="9">
        <f>IF(ISNUMBER(G13),G13,IF(ISNUMBER(H13),H13,""))</f>
        <v>64.0</v>
      </c>
      <c r="K13" s="10">
        <f>IF(AND(ISNUMBER(E13),ISNUMBER(J13),J13&gt;0),E13/J13*Referenz,"")</f>
        <v/>
      </c>
      <c r="L13">
        <f>COUNT(K$4:K13)</f>
        <v>6</v>
      </c>
      <c r="M13" s="10">
        <f>IF(NOT(ISNUMBER(K13)),"",IF(L13&gt;=Fenster,AVERAGEIFS(K$4:K13,L$4:L13,"&gt;"&amp;(L13-Fenster)),IF(AND(Duenn_nVelocity,L13&gt;=3),AVERAGE(K$4:K13),"")))</f>
        <v/>
      </c>
      <c r="N13" s="10">
        <f>IF(ISNUMBER(M13),"",IF(Duenn_nVelocity,IF(ISNUMBER(O12),O12,""),IF(ISNUMBER(O12),O12,"")))</f>
        <v>31.582478368871183</v>
      </c>
      <c r="O13" s="10">
        <f>IF(ISNUMBER(M13),M13,IF(ISNUMBER(N13),N13,""))</f>
        <v>31.582478368871183</v>
      </c>
      <c r="P13">
        <f>COUNT(J$4:J13)</f>
        <v>10</v>
      </c>
      <c r="Q13" s="10">
        <f>IF(NOT(ISNUMBER(J13)),"",IF(P13&gt;=Fenster,AVERAGEIFS(J$4:J13,P$4:P13,"&gt;"&amp;(P13-Fenster)),IF(AND(Duenn_Kapazitaet,P13&gt;=3),AVERAGE(J$4:J13),"")))</f>
        <v>63.760000000000005</v>
      </c>
      <c r="R13" s="10">
        <f>IF(ISNUMBER(Q13),"",IF(Duenn_Kapazitaet,IF(ISNUMBER(S12),S12,""),IF(ISNUMBER(S12),S12,"")))</f>
        <v/>
      </c>
      <c r="S13" s="10">
        <f>IF(ISNUMBER(Q13),Q13,IF(ISNUMBER(R13),R13,""))</f>
        <v>63.760000000000005</v>
      </c>
      <c r="T13" s="9">
        <f>IF(ISNUMBER(J13),J13,R13)</f>
        <v>64.0</v>
      </c>
      <c r="U13" s="10">
        <f>IF(AND(ISNUMBER(N13),ISNUMBER(T13)),MAX(0,ROUNDDOWN(N13/Referenz*T13,Rundung)),IF(ISNUMBER(D13),ROUNDDOWN(D13,Rundung),""))</f>
        <v>50.5</v>
      </c>
      <c r="V13" s="10">
        <f>IF(ISNUMBER(U13),U13*Roadmap_Anteil,"")</f>
        <v>37.875</v>
      </c>
      <c r="W13" s="10">
        <f>IF(ISNUMBER(U13),U13-V13,"")</f>
        <v>12.625</v>
      </c>
      <c r="X13" s="11">
        <f>IF(AND(ISNUMBER(E13),ISNUMBER(D13),D13&lt;&gt;0),E13/D13,"")</f>
        <v/>
      </c>
      <c r="Y13" s="11">
        <f>IF(AND(ISNUMBER(E13),ISNUMBER(J13),J13&gt;0),E13/J13,"")</f>
        <v/>
      </c>
      <c r="AE13" s="10">
        <f>IF(COUNTIFS('Product values'!$A$2:$A$69,A13,'Product values'!$G$2:$G$69,"&lt;&gt;")=0,"",SUMIFS('Product values'!$G$2:$G$69,'Product values'!$A$2:$A$69,A13))</f>
        <v/>
      </c>
      <c r="AF13" s="10">
        <f>IF(AND(ISNUMBER(U13),ISNUMBER(AE13)),U13-AE13,"")</f>
        <v/>
      </c>
    </row>
    <row r="14" spans="1:32">
      <c r="A14" t="s">
        <v>83</v>
      </c>
      <c r="B14" s="5">
        <v>46169</v>
      </c>
      <c r="C14" s="5">
        <v>46183</v>
      </c>
      <c r="D14" s="6"/>
      <c r="E14" s="6"/>
      <c r="F14" s="7"/>
      <c r="G14" s="8"/>
      <c r="H14" s="9">
        <v>72</v>
      </c>
      <c r="I14" t="s">
        <v>79</v>
      </c>
      <c r="J14" s="9">
        <f>IF(ISNUMBER(G14),G14,IF(ISNUMBER(H14),H14,""))</f>
        <v>72.0</v>
      </c>
      <c r="K14" s="10">
        <f>IF(AND(ISNUMBER(E14),ISNUMBER(J14),J14&gt;0),E14/J14*Referenz,"")</f>
        <v/>
      </c>
      <c r="L14">
        <f>COUNT(K$4:K14)</f>
        <v>6</v>
      </c>
      <c r="M14" s="10">
        <f>IF(NOT(ISNUMBER(K14)),"",IF(L14&gt;=Fenster,AVERAGEIFS(K$4:K14,L$4:L14,"&gt;"&amp;(L14-Fenster)),IF(AND(Duenn_nVelocity,L14&gt;=3),AVERAGE(K$4:K14),"")))</f>
        <v/>
      </c>
      <c r="N14" s="10">
        <f>IF(ISNUMBER(M14),"",IF(Duenn_nVelocity,IF(ISNUMBER(O13),O13,""),IF(ISNUMBER(O13),O13,"")))</f>
        <v>31.582478368871183</v>
      </c>
      <c r="O14" s="10">
        <f>IF(ISNUMBER(M14),M14,IF(ISNUMBER(N14),N14,""))</f>
        <v>31.582478368871183</v>
      </c>
      <c r="P14">
        <f>COUNT(J$4:J14)</f>
        <v>11</v>
      </c>
      <c r="Q14" s="10">
        <f>IF(NOT(ISNUMBER(J14)),"",IF(P14&gt;=Fenster,AVERAGEIFS(J$4:J14,P$4:P14,"&gt;"&amp;(P14-Fenster)),IF(AND(Duenn_Kapazitaet,P14&gt;=3),AVERAGE(J$4:J14),"")))</f>
        <v>69.96000000000001</v>
      </c>
      <c r="R14" s="10">
        <f>IF(ISNUMBER(Q14),"",IF(Duenn_Kapazitaet,IF(ISNUMBER(S13),S13,""),IF(ISNUMBER(S13),S13,"")))</f>
        <v/>
      </c>
      <c r="S14" s="10">
        <f>IF(ISNUMBER(Q14),Q14,IF(ISNUMBER(R14),R14,""))</f>
        <v>69.96000000000001</v>
      </c>
      <c r="T14" s="9">
        <f>IF(ISNUMBER(J14),J14,R14)</f>
        <v>72.0</v>
      </c>
      <c r="U14" s="10">
        <f>IF(AND(ISNUMBER(N14),ISNUMBER(T14)),MAX(0,ROUNDDOWN(N14/Referenz*T14,Rundung)),IF(ISNUMBER(D14),ROUNDDOWN(D14,Rundung),""))</f>
        <v>56.8</v>
      </c>
      <c r="V14" s="10">
        <f>IF(ISNUMBER(U14),U14*Roadmap_Anteil,"")</f>
        <v>42.599999999999994</v>
      </c>
      <c r="W14" s="10">
        <f>IF(ISNUMBER(U14),U14-V14,"")</f>
        <v>14.200000000000003</v>
      </c>
      <c r="X14" s="11">
        <f>IF(AND(ISNUMBER(E14),ISNUMBER(D14),D14&lt;&gt;0),E14/D14,"")</f>
        <v/>
      </c>
      <c r="Y14" s="11">
        <f>IF(AND(ISNUMBER(E14),ISNUMBER(J14),J14&gt;0),E14/J14,"")</f>
        <v/>
      </c>
      <c r="AE14" s="10">
        <f>IF(COUNTIFS('Product values'!$A$2:$A$69,A14,'Product values'!$G$2:$G$69,"&lt;&gt;")=0,"",SUMIFS('Product values'!$G$2:$G$69,'Product values'!$A$2:$A$69,A14))</f>
        <v/>
      </c>
      <c r="AF14" s="10">
        <f>IF(AND(ISNUMBER(U14),ISNUMBER(AE14)),U14-AE14,"")</f>
        <v/>
      </c>
    </row>
    <row r="15" spans="1:32">
      <c r="A15" t="s">
        <v>84</v>
      </c>
      <c r="B15" s="5">
        <v>46183</v>
      </c>
      <c r="C15" s="5">
        <v>46197</v>
      </c>
      <c r="D15" s="6"/>
      <c r="E15" s="6"/>
      <c r="F15" s="7"/>
      <c r="G15" s="8"/>
      <c r="H15" s="9">
        <v>74.2</v>
      </c>
      <c r="I15" t="s">
        <v>79</v>
      </c>
      <c r="J15" s="9">
        <f>IF(ISNUMBER(G15),G15,IF(ISNUMBER(H15),H15,""))</f>
        <v>74.2</v>
      </c>
      <c r="K15" s="10">
        <f>IF(AND(ISNUMBER(E15),ISNUMBER(J15),J15&gt;0),E15/J15*Referenz,"")</f>
        <v/>
      </c>
      <c r="L15">
        <f>COUNT(K$4:K15)</f>
        <v>6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IF(ISNUMBER(M15),"",IF(Duenn_nVelocity,IF(ISNUMBER(O14),O14,""),IF(ISNUMBER(O14),O14,"")))</f>
        <v>31.582478368871183</v>
      </c>
      <c r="O15" s="10">
        <f>IF(ISNUMBER(M15),M15,IF(ISNUMBER(N15),N15,""))</f>
        <v>31.582478368871183</v>
      </c>
      <c r="P15">
        <f>COUNT(J$4:J15)</f>
        <v>12</v>
      </c>
      <c r="Q15" s="10">
        <f>IF(NOT(ISNUMBER(J15)),"",IF(P15&gt;=Fenster,AVERAGEIFS(J$4:J15,P$4:P15,"&gt;"&amp;(P15-Fenster)),IF(AND(Duenn_Kapazitaet,P15&gt;=3),AVERAGE(J$4:J15),"")))</f>
        <v>71.36</v>
      </c>
      <c r="R15" s="10">
        <f>IF(ISNUMBER(Q15),"",IF(Duenn_Kapazitaet,IF(ISNUMBER(S14),S14,""),IF(ISNUMBER(S14),S14,"")))</f>
        <v/>
      </c>
      <c r="S15" s="10">
        <f>IF(ISNUMBER(Q15),Q15,IF(ISNUMBER(R15),R15,""))</f>
        <v>71.36</v>
      </c>
      <c r="T15" s="9">
        <f>IF(ISNUMBER(J15),J15,R15)</f>
        <v>74.2</v>
      </c>
      <c r="U15" s="10">
        <f>IF(AND(ISNUMBER(N15),ISNUMBER(T15)),MAX(0,ROUNDDOWN(N15/Referenz*T15,Rundung)),IF(ISNUMBER(D15),ROUNDDOWN(D15,Rundung),""))</f>
        <v>58.5</v>
      </c>
      <c r="V15" s="10">
        <f>IF(ISNUMBER(U15),U15*Roadmap_Anteil,"")</f>
        <v>43.875</v>
      </c>
      <c r="W15" s="10">
        <f>IF(ISNUMBER(U15),U15-V15,"")</f>
        <v>14.625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values'!$A$2:$A$69,A15,'Product values'!$G$2:$G$69,"&lt;&gt;")=0,"",SUMIFS('Product values'!$G$2:$G$69,'Product values'!$A$2:$A$69,A15))</f>
        <v/>
      </c>
      <c r="AF15" s="10">
        <f>IF(AND(ISNUMBER(U15),ISNUMBER(AE15)),U15-AE15,"")</f>
        <v/>
      </c>
    </row>
    <row r="16" spans="1:32">
      <c r="A16" t="s">
        <v>85</v>
      </c>
      <c r="B16" s="5">
        <v>46197</v>
      </c>
      <c r="C16" s="5">
        <v>46211</v>
      </c>
      <c r="D16" s="6"/>
      <c r="E16" s="6"/>
      <c r="F16" s="7"/>
      <c r="G16" s="8"/>
      <c r="H16" s="9">
        <v>75</v>
      </c>
      <c r="I16" t="s">
        <v>79</v>
      </c>
      <c r="J16" s="9">
        <f>IF(ISNUMBER(G16),G16,IF(ISNUMBER(H16),H16,""))</f>
        <v>75.0</v>
      </c>
      <c r="K16" s="10">
        <f>IF(AND(ISNUMBER(E16),ISNUMBER(J16),J16&gt;0),E16/J16*Referenz,"")</f>
        <v/>
      </c>
      <c r="L16">
        <f>COUNT(K$4:K16)</f>
        <v>6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IF(ISNUMBER(M16),"",IF(Duenn_nVelocity,IF(ISNUMBER(O15),O15,""),IF(ISNUMBER(O15),O15,"")))</f>
        <v>31.582478368871183</v>
      </c>
      <c r="O16" s="10">
        <f>IF(ISNUMBER(M16),M16,IF(ISNUMBER(N16),N16,""))</f>
        <v>31.582478368871183</v>
      </c>
      <c r="P16">
        <f>COUNT(J$4:J16)</f>
        <v>13</v>
      </c>
      <c r="Q16" s="10">
        <f>IF(NOT(ISNUMBER(J16)),"",IF(P16&gt;=Fenster,AVERAGEIFS(J$4:J16,P$4:P16,"&gt;"&amp;(P16-Fenster)),IF(AND(Duenn_Kapazitaet,P16&gt;=3),AVERAGE(J$4:J16),"")))</f>
        <v>71.16</v>
      </c>
      <c r="R16" s="10">
        <f>IF(ISNUMBER(Q16),"",IF(Duenn_Kapazitaet,IF(ISNUMBER(S15),S15,""),IF(ISNUMBER(S15),S15,"")))</f>
        <v/>
      </c>
      <c r="S16" s="10">
        <f>IF(ISNUMBER(Q16),Q16,IF(ISNUMBER(R16),R16,""))</f>
        <v>71.16</v>
      </c>
      <c r="T16" s="9">
        <f>IF(ISNUMBER(J16),J16,R16)</f>
        <v>75.0</v>
      </c>
      <c r="U16" s="10">
        <f>IF(AND(ISNUMBER(N16),ISNUMBER(T16)),MAX(0,ROUNDDOWN(N16/Referenz*T16,Rundung)),IF(ISNUMBER(D16),ROUNDDOWN(D16,Rundung),""))</f>
        <v>59.2</v>
      </c>
      <c r="V16" s="10">
        <f>IF(ISNUMBER(U16),U16*Roadmap_Anteil,"")</f>
        <v>44.400000000000006</v>
      </c>
      <c r="W16" s="10">
        <f>IF(ISNUMBER(U16),U16-V16,"")</f>
        <v>14.799999999999997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values'!$A$2:$A$69,A16,'Product values'!$G$2:$G$69,"&lt;&gt;")=0,"",SUMIFS('Product values'!$G$2:$G$69,'Product values'!$A$2:$A$69,A16))</f>
        <v/>
      </c>
      <c r="AF16" s="10">
        <f>IF(AND(ISNUMBER(U16),ISNUMBER(AE16)),U16-AE16,"")</f>
        <v/>
      </c>
    </row>
    <row r="17" spans="1:32">
      <c r="A17" t="s">
        <v>86</v>
      </c>
      <c r="B17" s="5">
        <v>46211</v>
      </c>
      <c r="C17" s="5">
        <v>46225</v>
      </c>
      <c r="D17" s="6"/>
      <c r="E17" s="6"/>
      <c r="F17" s="7"/>
      <c r="G17" s="8"/>
      <c r="H17" s="9">
        <v>76</v>
      </c>
      <c r="I17" t="s">
        <v>79</v>
      </c>
      <c r="J17" s="9">
        <f>IF(ISNUMBER(G17),G17,IF(ISNUMBER(H17),H17,""))</f>
        <v>76.0</v>
      </c>
      <c r="K17" s="10">
        <f>IF(AND(ISNUMBER(E17),ISNUMBER(J17),J17&gt;0),E17/J17*Referenz,"")</f>
        <v/>
      </c>
      <c r="L17">
        <f>COUNT(K$4:K17)</f>
        <v>6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IF(ISNUMBER(M17),"",IF(Duenn_nVelocity,IF(ISNUMBER(O16),O16,""),IF(ISNUMBER(O16),O16,"")))</f>
        <v>31.582478368871183</v>
      </c>
      <c r="O17" s="10">
        <f>IF(ISNUMBER(M17),M17,IF(ISNUMBER(N17),N17,""))</f>
        <v>31.582478368871183</v>
      </c>
      <c r="P17">
        <f>COUNT(J$4:J17)</f>
        <v>14</v>
      </c>
      <c r="Q17" s="10">
        <f>IF(NOT(ISNUMBER(J17)),"",IF(P17&gt;=Fenster,AVERAGEIFS(J$4:J17,P$4:P17,"&gt;"&amp;(P17-Fenster)),IF(AND(Duenn_Kapazitaet,P17&gt;=3),AVERAGE(J$4:J17),"")))</f>
        <v>72.24</v>
      </c>
      <c r="R17" s="10">
        <f>IF(ISNUMBER(Q17),"",IF(Duenn_Kapazitaet,IF(ISNUMBER(S16),S16,""),IF(ISNUMBER(S16),S16,"")))</f>
        <v/>
      </c>
      <c r="S17" s="10">
        <f>IF(ISNUMBER(Q17),Q17,IF(ISNUMBER(R17),R17,""))</f>
        <v>72.24</v>
      </c>
      <c r="T17" s="9">
        <f>IF(ISNUMBER(J17),J17,R17)</f>
        <v>76.0</v>
      </c>
      <c r="U17" s="10">
        <f>IF(AND(ISNUMBER(N17),ISNUMBER(T17)),MAX(0,ROUNDDOWN(N17/Referenz*T17,Rundung)),IF(ISNUMBER(D17),ROUNDDOWN(D17,Rundung),""))</f>
        <v>60.0</v>
      </c>
      <c r="V17" s="10">
        <f>IF(ISNUMBER(U17),U17*Roadmap_Anteil,"")</f>
        <v>45.0</v>
      </c>
      <c r="W17" s="10">
        <f>IF(ISNUMBER(U17),U17-V17,"")</f>
        <v>15.0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values'!$A$2:$A$69,A17,'Product values'!$G$2:$G$69,"&lt;&gt;")=0,"",SUMIFS('Product values'!$G$2:$G$69,'Product values'!$A$2:$A$69,A17))</f>
        <v/>
      </c>
      <c r="AF17" s="10">
        <f>IF(AND(ISNUMBER(U17),ISNUMBER(AE17)),U17-AE17,"")</f>
        <v/>
      </c>
    </row>
    <row r="18" spans="1:32">
      <c r="A18" t="s">
        <v>87</v>
      </c>
      <c r="B18" s="5">
        <v>46225</v>
      </c>
      <c r="C18" s="5">
        <v>46239</v>
      </c>
      <c r="D18" s="6"/>
      <c r="E18" s="6"/>
      <c r="F18" s="7"/>
      <c r="G18" s="8"/>
      <c r="H18" s="9">
        <v>76</v>
      </c>
      <c r="I18" t="s">
        <v>79</v>
      </c>
      <c r="J18" s="9">
        <f>IF(ISNUMBER(G18),G18,IF(ISNUMBER(H18),H18,""))</f>
        <v>76.0</v>
      </c>
      <c r="K18" s="10">
        <f>IF(AND(ISNUMBER(E18),ISNUMBER(J18),J18&gt;0),E18/J18*Referenz,"")</f>
        <v/>
      </c>
      <c r="L18">
        <f>COUNT(K$4:K18)</f>
        <v>6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IF(ISNUMBER(M18),"",IF(Duenn_nVelocity,IF(ISNUMBER(O17),O17,""),IF(ISNUMBER(O17),O17,"")))</f>
        <v>31.582478368871183</v>
      </c>
      <c r="O18" s="10">
        <f>IF(ISNUMBER(M18),M18,IF(ISNUMBER(N18),N18,""))</f>
        <v>31.582478368871183</v>
      </c>
      <c r="P18">
        <f>COUNT(J$4:J18)</f>
        <v>15</v>
      </c>
      <c r="Q18" s="10">
        <f>IF(NOT(ISNUMBER(J18)),"",IF(P18&gt;=Fenster,AVERAGEIFS(J$4:J18,P$4:P18,"&gt;"&amp;(P18-Fenster)),IF(AND(Duenn_Kapazitaet,P18&gt;=3),AVERAGE(J$4:J18),"")))</f>
        <v>74.64</v>
      </c>
      <c r="R18" s="10">
        <f>IF(ISNUMBER(Q18),"",IF(Duenn_Kapazitaet,IF(ISNUMBER(S17),S17,""),IF(ISNUMBER(S17),S17,"")))</f>
        <v/>
      </c>
      <c r="S18" s="10">
        <f>IF(ISNUMBER(Q18),Q18,IF(ISNUMBER(R18),R18,""))</f>
        <v>74.64</v>
      </c>
      <c r="T18" s="9">
        <f>IF(ISNUMBER(J18),J18,R18)</f>
        <v>76.0</v>
      </c>
      <c r="U18" s="10">
        <f>IF(AND(ISNUMBER(N18),ISNUMBER(T18)),MAX(0,ROUNDDOWN(N18/Referenz*T18,Rundung)),IF(ISNUMBER(D18),ROUNDDOWN(D18,Rundung),""))</f>
        <v>60.0</v>
      </c>
      <c r="V18" s="10">
        <f>IF(ISNUMBER(U18),U18*Roadmap_Anteil,"")</f>
        <v>45.0</v>
      </c>
      <c r="W18" s="10">
        <f>IF(ISNUMBER(U18),U18-V18,"")</f>
        <v>15.0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values'!$A$2:$A$69,A18,'Product values'!$G$2:$G$69,"&lt;&gt;")=0,"",SUMIFS('Product values'!$G$2:$G$69,'Product values'!$A$2:$A$69,A18))</f>
        <v/>
      </c>
      <c r="AF18" s="10">
        <f>IF(AND(ISNUMBER(U18),ISNUMBER(AE18)),U18-AE18,"")</f>
        <v/>
      </c>
    </row>
    <row r="19" spans="1:32">
      <c r="A19" t="s">
        <v>88</v>
      </c>
      <c r="B19" s="5">
        <v>46239</v>
      </c>
      <c r="C19" s="5">
        <v>46253</v>
      </c>
      <c r="D19" s="6"/>
      <c r="E19" s="6"/>
      <c r="F19" s="7"/>
      <c r="G19" s="8"/>
      <c r="H19" s="9">
        <v>76</v>
      </c>
      <c r="I19" t="s">
        <v>79</v>
      </c>
      <c r="J19" s="9">
        <f>IF(ISNUMBER(G19),G19,IF(ISNUMBER(H19),H19,""))</f>
        <v>76.0</v>
      </c>
      <c r="K19" s="10">
        <f>IF(AND(ISNUMBER(E19),ISNUMBER(J19),J19&gt;0),E19/J19*Referenz,"")</f>
        <v/>
      </c>
      <c r="L19">
        <f>COUNT(K$4:K19)</f>
        <v>6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IF(ISNUMBER(M19),"",IF(Duenn_nVelocity,IF(ISNUMBER(O18),O18,""),IF(ISNUMBER(O18),O18,"")))</f>
        <v>31.582478368871183</v>
      </c>
      <c r="O19" s="10">
        <f>IF(ISNUMBER(M19),M19,IF(ISNUMBER(N19),N19,""))</f>
        <v>31.582478368871183</v>
      </c>
      <c r="P19">
        <f>COUNT(J$4:J19)</f>
        <v>16</v>
      </c>
      <c r="Q19" s="10">
        <f>IF(NOT(ISNUMBER(J19)),"",IF(P19&gt;=Fenster,AVERAGEIFS(J$4:J19,P$4:P19,"&gt;"&amp;(P19-Fenster)),IF(AND(Duenn_Kapazitaet,P19&gt;=3),AVERAGE(J$4:J19),"")))</f>
        <v>75.44</v>
      </c>
      <c r="R19" s="10">
        <f>IF(ISNUMBER(Q19),"",IF(Duenn_Kapazitaet,IF(ISNUMBER(S18),S18,""),IF(ISNUMBER(S18),S18,"")))</f>
        <v/>
      </c>
      <c r="S19" s="10">
        <f>IF(ISNUMBER(Q19),Q19,IF(ISNUMBER(R19),R19,""))</f>
        <v>75.44</v>
      </c>
      <c r="T19" s="9">
        <f>IF(ISNUMBER(J19),J19,R19)</f>
        <v>76.0</v>
      </c>
      <c r="U19" s="10">
        <f>IF(AND(ISNUMBER(N19),ISNUMBER(T19)),MAX(0,ROUNDDOWN(N19/Referenz*T19,Rundung)),IF(ISNUMBER(D19),ROUNDDOWN(D19,Rundung),""))</f>
        <v>60.0</v>
      </c>
      <c r="V19" s="10">
        <f>IF(ISNUMBER(U19),U19*Roadmap_Anteil,"")</f>
        <v>45.0</v>
      </c>
      <c r="W19" s="10">
        <f>IF(ISNUMBER(U19),U19-V19,"")</f>
        <v>15.0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values'!$A$2:$A$69,A19,'Product values'!$G$2:$G$69,"&lt;&gt;")=0,"",SUMIFS('Product values'!$G$2:$G$69,'Product values'!$A$2:$A$69,A19))</f>
        <v/>
      </c>
      <c r="AF19" s="10">
        <f>IF(AND(ISNUMBER(U19),ISNUMBER(AE19)),U19-AE19,"")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</row>
    <row r="2" spans="1:11">
      <c r="A2" t="s">
        <v>15</v>
      </c>
      <c r="B2" s="3" t="s">
        <v>99</v>
      </c>
      <c r="C2" s="6">
        <v>25.5</v>
      </c>
      <c r="D2" s="6"/>
      <c r="E2" s="6"/>
      <c r="F2" s="3"/>
      <c r="G2" s="6"/>
      <c r="H2" s="6"/>
      <c r="I2" s="6"/>
      <c r="J2" s="6"/>
      <c r="K2" s="3"/>
    </row>
    <row r="3" spans="1:11">
      <c r="A3" t="s">
        <v>73</v>
      </c>
      <c r="B3" s="3" t="s">
        <v>99</v>
      </c>
      <c r="C3" s="6">
        <v>27</v>
      </c>
      <c r="D3" s="6"/>
      <c r="E3" s="6"/>
      <c r="F3" s="3"/>
      <c r="G3" s="6"/>
      <c r="H3" s="6"/>
      <c r="I3" s="6"/>
      <c r="J3" s="6"/>
      <c r="K3" s="3"/>
    </row>
    <row r="4" spans="1:11">
      <c r="A4" t="s">
        <v>74</v>
      </c>
      <c r="B4" s="3" t="s">
        <v>99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75</v>
      </c>
      <c r="B5" s="3" t="s">
        <v>99</v>
      </c>
      <c r="C5" s="6">
        <v>30</v>
      </c>
      <c r="D5" s="6"/>
      <c r="E5" s="6"/>
      <c r="F5" s="3"/>
      <c r="G5" s="6"/>
      <c r="H5" s="6"/>
      <c r="I5" s="6"/>
      <c r="J5" s="6"/>
      <c r="K5" s="3"/>
    </row>
    <row r="6" spans="1:11">
      <c r="A6" t="s">
        <v>76</v>
      </c>
      <c r="B6" s="3" t="s">
        <v>99</v>
      </c>
      <c r="C6" s="6"/>
      <c r="D6" s="6"/>
      <c r="E6" s="6"/>
      <c r="F6" s="3"/>
      <c r="G6" s="6"/>
      <c r="H6" s="6"/>
      <c r="I6" s="6">
        <v>3</v>
      </c>
      <c r="J6" s="6">
        <v>2.5</v>
      </c>
      <c r="K6" s="3"/>
    </row>
    <row r="7" spans="1:11">
      <c r="A7" t="s">
        <v>77</v>
      </c>
      <c r="B7" s="3" t="s">
        <v>99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78</v>
      </c>
      <c r="B8" s="3"/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80</v>
      </c>
      <c r="B9" s="3"/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81</v>
      </c>
      <c r="B10" s="3"/>
      <c r="C10" s="6"/>
      <c r="D10" s="6"/>
      <c r="E10" s="6"/>
      <c r="F10" s="3"/>
      <c r="G10" s="6"/>
      <c r="H10" s="6"/>
      <c r="I10" s="6"/>
      <c r="J10" s="6"/>
      <c r="K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38</v>
      </c>
      <c r="B1" s="2" t="s">
        <v>100</v>
      </c>
      <c r="C1" s="2" t="s">
        <v>101</v>
      </c>
      <c r="D1" s="2" t="s">
        <v>102</v>
      </c>
      <c r="E1" s="2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104</v>
      </c>
      <c r="B1" s="2" t="s">
        <v>101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</row>
    <row r="2" spans="1:9">
      <c r="A2" s="3" t="s">
        <v>112</v>
      </c>
      <c r="B2" s="3" t="s">
        <v>113</v>
      </c>
      <c r="C2" s="3"/>
      <c r="D2" s="3"/>
      <c r="E2" s="3"/>
      <c r="F2" s="3"/>
      <c r="G2" s="12">
        <v>45658</v>
      </c>
      <c r="H2" s="12"/>
      <c r="I2" s="6">
        <v>1</v>
      </c>
    </row>
    <row r="3" spans="1:9">
      <c r="A3" s="3" t="s">
        <v>114</v>
      </c>
      <c r="B3" s="3" t="s">
        <v>115</v>
      </c>
      <c r="C3" s="3"/>
      <c r="D3" s="3"/>
      <c r="E3" s="3"/>
      <c r="F3" s="3"/>
      <c r="G3" s="12">
        <v>45658</v>
      </c>
      <c r="H3" s="12">
        <v>46265</v>
      </c>
      <c r="I3" s="6">
        <v>1</v>
      </c>
    </row>
    <row r="4" spans="1:9">
      <c r="A4" s="3" t="s">
        <v>114</v>
      </c>
      <c r="B4" s="3" t="s">
        <v>115</v>
      </c>
      <c r="C4" s="3"/>
      <c r="D4" s="3"/>
      <c r="E4" s="3"/>
      <c r="F4" s="3"/>
      <c r="G4" s="12">
        <v>46266</v>
      </c>
      <c r="H4" s="12"/>
      <c r="I4" s="6">
        <v>0.5</v>
      </c>
    </row>
    <row r="5" spans="1:9">
      <c r="A5" s="3" t="s">
        <v>116</v>
      </c>
      <c r="B5" s="3" t="s">
        <v>117</v>
      </c>
      <c r="C5" s="3"/>
      <c r="D5" s="3" t="s">
        <v>118</v>
      </c>
      <c r="E5" s="3"/>
      <c r="F5" s="3"/>
      <c r="G5" s="12">
        <v>45658</v>
      </c>
      <c r="H5" s="12"/>
      <c r="I5" s="6">
        <v>1</v>
      </c>
    </row>
    <row r="6" spans="1:9">
      <c r="A6" s="3" t="s">
        <v>119</v>
      </c>
      <c r="B6" s="3" t="s">
        <v>120</v>
      </c>
      <c r="C6" s="3" t="s">
        <v>121</v>
      </c>
      <c r="D6" s="3" t="s">
        <v>122</v>
      </c>
      <c r="E6" s="3"/>
      <c r="F6" s="3"/>
      <c r="G6" s="12">
        <v>45809</v>
      </c>
      <c r="H6" s="12"/>
      <c r="I6" s="6">
        <v>1</v>
      </c>
    </row>
    <row r="7" spans="1:9">
      <c r="A7" s="3" t="s">
        <v>123</v>
      </c>
      <c r="B7" s="3" t="s">
        <v>124</v>
      </c>
      <c r="C7" s="3" t="s">
        <v>125</v>
      </c>
      <c r="D7" s="3"/>
      <c r="E7" s="3"/>
      <c r="F7" s="3"/>
      <c r="G7" s="12">
        <v>45809</v>
      </c>
      <c r="H7" s="12"/>
      <c r="I7" s="6">
        <v>0.8</v>
      </c>
    </row>
    <row r="8" spans="1:9">
      <c r="A8" s="3" t="s">
        <v>126</v>
      </c>
      <c r="B8" s="3" t="s">
        <v>127</v>
      </c>
      <c r="C8" s="3" t="s">
        <v>128</v>
      </c>
      <c r="D8" s="3"/>
      <c r="E8" s="3"/>
      <c r="F8" s="3"/>
      <c r="G8" s="12">
        <v>46023</v>
      </c>
      <c r="H8" s="12"/>
      <c r="I8" s="6">
        <v>1</v>
      </c>
    </row>
    <row r="9" spans="1:9">
      <c r="A9" s="3" t="s">
        <v>129</v>
      </c>
      <c r="B9" s="3" t="s">
        <v>130</v>
      </c>
      <c r="C9" s="3"/>
      <c r="D9" s="3"/>
      <c r="E9" s="3" t="s">
        <v>131</v>
      </c>
      <c r="F9" s="3"/>
      <c r="G9" s="12">
        <v>45658</v>
      </c>
      <c r="H9" s="12"/>
      <c r="I9" s="6">
        <v>1</v>
      </c>
    </row>
    <row r="10" spans="1:9">
      <c r="A10" s="3" t="s">
        <v>132</v>
      </c>
      <c r="B10" s="3" t="s">
        <v>133</v>
      </c>
      <c r="C10" s="3"/>
      <c r="D10" s="3"/>
      <c r="E10" s="3" t="s">
        <v>134</v>
      </c>
      <c r="F10" s="3"/>
      <c r="G10" s="12">
        <v>45658</v>
      </c>
      <c r="H10" s="12"/>
      <c r="I10" s="6">
        <v>1</v>
      </c>
    </row>
    <row r="11" spans="1:9">
      <c r="A11" s="3" t="s">
        <v>135</v>
      </c>
      <c r="B11" s="3" t="s">
        <v>136</v>
      </c>
      <c r="C11" s="3"/>
      <c r="D11" s="3"/>
      <c r="E11" s="3"/>
      <c r="F11" s="3" t="b">
        <v>1</v>
      </c>
      <c r="G11" s="12">
        <v>45658</v>
      </c>
      <c r="H11" s="12">
        <v>46101</v>
      </c>
      <c r="I11" s="6">
        <v>1</v>
      </c>
    </row>
    <row r="12" spans="1:9">
      <c r="A12" s="3" t="s">
        <v>137</v>
      </c>
      <c r="B12" s="3" t="s">
        <v>138</v>
      </c>
      <c r="C12" s="3"/>
      <c r="D12" s="3"/>
      <c r="E12" s="3"/>
      <c r="F12" s="3" t="b">
        <v>1</v>
      </c>
      <c r="G12" s="12">
        <v>46280</v>
      </c>
      <c r="H12" s="12"/>
      <c r="I12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104</v>
      </c>
      <c r="B1" s="2" t="s">
        <v>101</v>
      </c>
      <c r="C1" s="2" t="s">
        <v>139</v>
      </c>
      <c r="D1" s="2" t="s">
        <v>140</v>
      </c>
      <c r="E1" s="2" t="s">
        <v>141</v>
      </c>
      <c r="F1" s="2" t="s">
        <v>142</v>
      </c>
    </row>
    <row r="2" spans="1:6">
      <c r="A2" s="3" t="s">
        <v>143</v>
      </c>
      <c r="B2" s="3" t="s">
        <v>144</v>
      </c>
      <c r="C2" s="3" t="s">
        <v>145</v>
      </c>
      <c r="D2" s="12"/>
      <c r="E2" s="12"/>
      <c r="F2" s="6">
        <v>0.4</v>
      </c>
    </row>
    <row r="3" spans="1:6">
      <c r="A3" s="3" t="s">
        <v>146</v>
      </c>
      <c r="B3" s="3" t="s">
        <v>147</v>
      </c>
      <c r="C3" s="3" t="s">
        <v>145</v>
      </c>
      <c r="D3" s="12"/>
      <c r="E3" s="12"/>
      <c r="F3" s="6">
        <v>0.35</v>
      </c>
    </row>
    <row r="4" spans="1:6">
      <c r="A4" s="3" t="s">
        <v>148</v>
      </c>
      <c r="B4" s="3" t="s">
        <v>149</v>
      </c>
      <c r="C4" s="3" t="s">
        <v>150</v>
      </c>
      <c r="D4" s="12"/>
      <c r="E4" s="12"/>
      <c r="F4" s="6"/>
    </row>
    <row r="5" spans="1:6">
      <c r="A5" s="3" t="s">
        <v>151</v>
      </c>
      <c r="B5" s="3" t="s">
        <v>152</v>
      </c>
      <c r="C5" s="3" t="s">
        <v>150</v>
      </c>
      <c r="D5" s="12"/>
      <c r="E5" s="12">
        <v>46082</v>
      </c>
      <c r="F5" s="6"/>
    </row>
    <row r="6" spans="1:6">
      <c r="A6" s="3" t="s">
        <v>153</v>
      </c>
      <c r="B6" s="3" t="s">
        <v>154</v>
      </c>
      <c r="C6" s="3"/>
      <c r="D6" s="12">
        <v>46085</v>
      </c>
      <c r="E6" s="12"/>
      <c r="F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38</v>
      </c>
      <c r="B1" s="2" t="s">
        <v>162</v>
      </c>
      <c r="C1" s="2" t="s">
        <v>163</v>
      </c>
      <c r="D1" s="2" t="s">
        <v>139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</row>
    <row r="2" spans="1:12">
      <c r="A2" t="s">
        <v>15</v>
      </c>
      <c r="B2" t="s">
        <v>143</v>
      </c>
      <c r="C2" t="s">
        <v>144</v>
      </c>
      <c r="D2" t="s">
        <v>145</v>
      </c>
      <c r="E2" s="10">
        <v>7.65</v>
      </c>
      <c r="F2" s="6">
        <v>10</v>
      </c>
      <c r="G2" s="6">
        <v>11</v>
      </c>
      <c r="H2" s="6">
        <v>10.5</v>
      </c>
      <c r="I2" s="6">
        <v>2</v>
      </c>
      <c r="J2" s="6">
        <v>1.5</v>
      </c>
      <c r="K2" s="10">
        <f>IF(AND(ISNUMBER(G2),ISNUMBER(I2)),G2-I2,"")</f>
        <v>9.0</v>
      </c>
      <c r="L2" s="10">
        <f>IF(AND(ISNUMBER(H2),ISNUMBER(J2)),H2-J2,"")</f>
        <v>9.0</v>
      </c>
    </row>
    <row r="3" spans="1:12">
      <c r="A3" t="s">
        <v>15</v>
      </c>
      <c r="B3" t="s">
        <v>146</v>
      </c>
      <c r="C3" t="s">
        <v>147</v>
      </c>
      <c r="D3" t="s">
        <v>145</v>
      </c>
      <c r="E3" s="10">
        <v>6.69375</v>
      </c>
      <c r="F3" s="6">
        <v>9</v>
      </c>
      <c r="G3" s="6">
        <v>9</v>
      </c>
      <c r="H3" s="6">
        <v>9</v>
      </c>
      <c r="I3" s="6"/>
      <c r="J3" s="6"/>
      <c r="K3" s="10">
        <f>IF(AND(ISNUMBER(G3),ISNUMBER(I3)),G3-I3,"")</f>
        <v/>
      </c>
      <c r="L3" s="10">
        <f>IF(AND(ISNUMBER(H3),ISNUMBER(J3)),H3-J3,"")</f>
        <v/>
      </c>
    </row>
    <row r="4" spans="1:12">
      <c r="A4" t="s">
        <v>15</v>
      </c>
      <c r="B4" t="s">
        <v>148</v>
      </c>
      <c r="C4" t="s">
        <v>149</v>
      </c>
      <c r="D4" t="s">
        <v>150</v>
      </c>
      <c r="E4" s="10">
        <v>2.390625</v>
      </c>
      <c r="F4" s="6">
        <v>6</v>
      </c>
      <c r="G4" s="6">
        <v>5.5</v>
      </c>
      <c r="H4" s="6">
        <v>5</v>
      </c>
      <c r="I4" s="6"/>
      <c r="J4" s="6"/>
      <c r="K4" s="10">
        <f>IF(AND(ISNUMBER(G4),ISNUMBER(I4)),G4-I4,"")</f>
        <v/>
      </c>
      <c r="L4" s="10">
        <f>IF(AND(ISNUMBER(H4),ISNUMBER(J4)),H4-J4,"")</f>
        <v/>
      </c>
    </row>
    <row r="5" spans="1:12">
      <c r="A5" t="s">
        <v>15</v>
      </c>
      <c r="B5" t="s">
        <v>151</v>
      </c>
      <c r="C5" t="s">
        <v>152</v>
      </c>
      <c r="D5" t="s">
        <v>150</v>
      </c>
      <c r="E5" s="10">
        <v>2.390625</v>
      </c>
      <c r="F5" s="6"/>
      <c r="G5" s="6"/>
      <c r="H5" s="6">
        <v>1</v>
      </c>
      <c r="I5" s="6"/>
      <c r="J5" s="6"/>
      <c r="K5" s="10">
        <f>IF(AND(ISNUMBER(G5),ISNUMBER(I5)),G5-I5,"")</f>
        <v/>
      </c>
      <c r="L5" s="10">
        <f>IF(AND(ISNUMBER(H5),ISNUMBER(J5)),H5-J5,"")</f>
        <v/>
      </c>
    </row>
    <row r="6" spans="1:12">
      <c r="A6" t="s">
        <v>15</v>
      </c>
      <c r="B6" t="s">
        <v>172</v>
      </c>
      <c r="C6" t="s">
        <v>172</v>
      </c>
      <c r="F6" s="6"/>
      <c r="G6" s="6">
        <v>1</v>
      </c>
      <c r="H6" s="6"/>
      <c r="I6" s="6"/>
      <c r="J6" s="6"/>
      <c r="K6" s="10">
        <f>IF(AND(ISNUMBER(G6),ISNUMBER(I6)),G6-I6,"")</f>
        <v/>
      </c>
      <c r="L6" s="10">
        <f>IF(AND(ISNUMBER(H6),ISNUMBER(J6)),H6-J6,"")</f>
        <v/>
      </c>
    </row>
    <row r="7" spans="1:12">
      <c r="A7" t="s">
        <v>15</v>
      </c>
      <c r="B7" t="s">
        <v>173</v>
      </c>
      <c r="C7" t="s">
        <v>173</v>
      </c>
      <c r="F7" s="6"/>
      <c r="G7" s="6"/>
      <c r="H7" s="6">
        <v>0.5</v>
      </c>
      <c r="I7" s="6"/>
      <c r="J7" s="6"/>
      <c r="K7" s="10">
        <f>IF(AND(ISNUMBER(G7),ISNUMBER(I7)),G7-I7,"")</f>
        <v/>
      </c>
      <c r="L7" s="10">
        <f>IF(AND(ISNUMBER(H7),ISNUMBER(J7)),H7-J7,"")</f>
        <v/>
      </c>
    </row>
    <row r="8" spans="1:12">
      <c r="A8" t="s">
        <v>73</v>
      </c>
      <c r="B8" t="s">
        <v>143</v>
      </c>
      <c r="C8" t="s">
        <v>144</v>
      </c>
      <c r="D8" t="s">
        <v>145</v>
      </c>
      <c r="E8" s="10">
        <v>8.1</v>
      </c>
      <c r="F8" s="6"/>
      <c r="G8" s="6">
        <v>12</v>
      </c>
      <c r="H8" s="6">
        <v>12.5</v>
      </c>
      <c r="I8" s="6"/>
      <c r="J8" s="6"/>
      <c r="K8" s="10">
        <f>IF(AND(ISNUMBER(G8),ISNUMBER(I8)),G8-I8,"")</f>
        <v/>
      </c>
      <c r="L8" s="10">
        <f>IF(AND(ISNUMBER(H8),ISNUMBER(J8)),H8-J8,"")</f>
        <v/>
      </c>
    </row>
    <row r="9" spans="1:12">
      <c r="A9" t="s">
        <v>73</v>
      </c>
      <c r="B9" t="s">
        <v>146</v>
      </c>
      <c r="C9" t="s">
        <v>147</v>
      </c>
      <c r="D9" t="s">
        <v>145</v>
      </c>
      <c r="E9" s="10">
        <v>7.087499999999999</v>
      </c>
      <c r="F9" s="6"/>
      <c r="G9" s="6">
        <v>9</v>
      </c>
      <c r="H9" s="6"/>
      <c r="I9" s="6"/>
      <c r="J9" s="6"/>
      <c r="K9" s="10">
        <f>IF(AND(ISNUMBER(G9),ISNUMBER(I9)),G9-I9,"")</f>
        <v/>
      </c>
      <c r="L9" s="10">
        <f>IF(AND(ISNUMBER(H9),ISNUMBER(J9)),H9-J9,"")</f>
        <v/>
      </c>
    </row>
    <row r="10" spans="1:12">
      <c r="A10" t="s">
        <v>73</v>
      </c>
      <c r="B10" t="s">
        <v>148</v>
      </c>
      <c r="C10" t="s">
        <v>149</v>
      </c>
      <c r="D10" t="s">
        <v>150</v>
      </c>
      <c r="E10" s="10">
        <v>2.53125</v>
      </c>
      <c r="F10" s="6"/>
      <c r="G10" s="6">
        <v>6</v>
      </c>
      <c r="H10" s="6">
        <v>6.5</v>
      </c>
      <c r="I10" s="6">
        <v>1</v>
      </c>
      <c r="J10" s="6"/>
      <c r="K10" s="10">
        <f>IF(AND(ISNUMBER(G10),ISNUMBER(I10)),G10-I10,"")</f>
        <v>5.0</v>
      </c>
      <c r="L10" s="10">
        <f>IF(AND(ISNUMBER(H10),ISNUMBER(J10)),H10-J10,"")</f>
        <v/>
      </c>
    </row>
    <row r="11" spans="1:12">
      <c r="A11" t="s">
        <v>73</v>
      </c>
      <c r="B11" t="s">
        <v>151</v>
      </c>
      <c r="C11" t="s">
        <v>152</v>
      </c>
      <c r="D11" t="s">
        <v>150</v>
      </c>
      <c r="E11" s="10">
        <v>2.53125</v>
      </c>
      <c r="F11" s="6"/>
      <c r="G11" s="6"/>
      <c r="H11" s="6">
        <v>0</v>
      </c>
      <c r="I11" s="6"/>
      <c r="J11" s="6"/>
      <c r="K11" s="10">
        <f>IF(AND(ISNUMBER(G11),ISNUMBER(I11)),G11-I11,"")</f>
        <v/>
      </c>
      <c r="L11" s="10">
        <f>IF(AND(ISNUMBER(H11),ISNUMBER(J11)),H11-J11,"")</f>
        <v/>
      </c>
    </row>
    <row r="12" spans="1:12">
      <c r="A12" t="s">
        <v>74</v>
      </c>
      <c r="B12" t="s">
        <v>143</v>
      </c>
      <c r="C12" t="s">
        <v>144</v>
      </c>
      <c r="D12" t="s">
        <v>145</v>
      </c>
      <c r="E12" s="10">
        <v>9.9</v>
      </c>
      <c r="F12" s="6"/>
      <c r="G12" s="6">
        <v>11</v>
      </c>
      <c r="H12" s="6">
        <v>10</v>
      </c>
      <c r="I12" s="6">
        <v>30</v>
      </c>
      <c r="J12" s="6"/>
      <c r="K12" s="10">
        <f>IF(AND(ISNUMBER(G12),ISNUMBER(I12)),G12-I12,"")</f>
        <v>-19.0</v>
      </c>
      <c r="L12" s="10">
        <f>IF(AND(ISNUMBER(H12),ISNUMBER(J12)),H12-J12,"")</f>
        <v/>
      </c>
    </row>
    <row r="13" spans="1:12">
      <c r="A13" t="s">
        <v>74</v>
      </c>
      <c r="B13" t="s">
        <v>146</v>
      </c>
      <c r="C13" t="s">
        <v>147</v>
      </c>
      <c r="D13" t="s">
        <v>145</v>
      </c>
      <c r="E13" s="10">
        <v>8.6625</v>
      </c>
      <c r="F13" s="6"/>
      <c r="G13" s="6"/>
      <c r="H13" s="6"/>
      <c r="I13" s="6"/>
      <c r="J13" s="6"/>
      <c r="K13" s="10">
        <f>IF(AND(ISNUMBER(G13),ISNUMBER(I13)),G13-I13,"")</f>
        <v/>
      </c>
      <c r="L13" s="10">
        <f>IF(AND(ISNUMBER(H13),ISNUMBER(J13)),H13-J13,"")</f>
        <v/>
      </c>
    </row>
    <row r="14" spans="1:12">
      <c r="A14" t="s">
        <v>74</v>
      </c>
      <c r="B14" t="s">
        <v>148</v>
      </c>
      <c r="C14" t="s">
        <v>149</v>
      </c>
      <c r="D14" t="s">
        <v>150</v>
      </c>
      <c r="E14" s="10">
        <v>3.09375</v>
      </c>
      <c r="F14" s="6"/>
      <c r="G14" s="6">
        <v>7</v>
      </c>
      <c r="H14" s="6">
        <v>7</v>
      </c>
      <c r="I14" s="6"/>
      <c r="J14" s="6"/>
      <c r="K14" s="10">
        <f>IF(AND(ISNUMBER(G14),ISNUMBER(I14)),G14-I14,"")</f>
        <v/>
      </c>
      <c r="L14" s="10">
        <f>IF(AND(ISNUMBER(H14),ISNUMBER(J14)),H14-J14,"")</f>
        <v/>
      </c>
    </row>
    <row r="15" spans="1:12">
      <c r="A15" t="s">
        <v>74</v>
      </c>
      <c r="B15" t="s">
        <v>151</v>
      </c>
      <c r="C15" t="s">
        <v>152</v>
      </c>
      <c r="D15" t="s">
        <v>150</v>
      </c>
      <c r="E15" s="10">
        <v>3.09375</v>
      </c>
      <c r="F15" s="6"/>
      <c r="G15" s="6"/>
      <c r="H15" s="6"/>
      <c r="I15" s="6"/>
      <c r="J15" s="6"/>
      <c r="K15" s="10">
        <f>IF(AND(ISNUMBER(G15),ISNUMBER(I15)),G15-I15,"")</f>
        <v/>
      </c>
      <c r="L15" s="10">
        <f>IF(AND(ISNUMBER(H15),ISNUMBER(J15)),H15-J15,"")</f>
        <v/>
      </c>
    </row>
    <row r="16" spans="1:12">
      <c r="A16" t="s">
        <v>74</v>
      </c>
      <c r="B16" t="s">
        <v>153</v>
      </c>
      <c r="C16" t="s">
        <v>154</v>
      </c>
      <c r="F16" s="6"/>
      <c r="G16" s="6"/>
      <c r="H16" s="6">
        <v>2</v>
      </c>
      <c r="I16" s="6"/>
      <c r="J16" s="6">
        <v>1</v>
      </c>
      <c r="K16" s="10">
        <f>IF(AND(ISNUMBER(G16),ISNUMBER(I16)),G16-I16,"")</f>
        <v/>
      </c>
      <c r="L16" s="10">
        <f>IF(AND(ISNUMBER(H16),ISNUMBER(J16)),H16-J16,"")</f>
        <v>1.0</v>
      </c>
    </row>
    <row r="17" spans="1:12">
      <c r="A17" t="s">
        <v>75</v>
      </c>
      <c r="B17" t="s">
        <v>143</v>
      </c>
      <c r="C17" t="s">
        <v>144</v>
      </c>
      <c r="D17" t="s">
        <v>145</v>
      </c>
      <c r="E17" s="10">
        <v>9</v>
      </c>
      <c r="F17" s="6"/>
      <c r="G17" s="6"/>
      <c r="H17" s="6"/>
      <c r="I17" s="6"/>
      <c r="J17" s="6"/>
      <c r="K17" s="10">
        <f>IF(AND(ISNUMBER(G17),ISNUMBER(I17)),G17-I17,"")</f>
        <v/>
      </c>
      <c r="L17" s="10">
        <f>IF(AND(ISNUMBER(H17),ISNUMBER(J17)),H17-J17,"")</f>
        <v/>
      </c>
    </row>
    <row r="18" spans="1:12">
      <c r="A18" t="s">
        <v>75</v>
      </c>
      <c r="B18" t="s">
        <v>146</v>
      </c>
      <c r="C18" t="s">
        <v>147</v>
      </c>
      <c r="D18" t="s">
        <v>145</v>
      </c>
      <c r="E18" s="10">
        <v>7.874999999999999</v>
      </c>
      <c r="F18" s="6"/>
      <c r="G18" s="6"/>
      <c r="H18" s="6">
        <v>8</v>
      </c>
      <c r="I18" s="6"/>
      <c r="J18" s="6"/>
      <c r="K18" s="10">
        <f>IF(AND(ISNUMBER(G18),ISNUMBER(I18)),G18-I18,"")</f>
        <v/>
      </c>
      <c r="L18" s="10">
        <f>IF(AND(ISNUMBER(H18),ISNUMBER(J18)),H18-J18,"")</f>
        <v/>
      </c>
    </row>
    <row r="19" spans="1:12">
      <c r="A19" t="s">
        <v>75</v>
      </c>
      <c r="B19" t="s">
        <v>148</v>
      </c>
      <c r="C19" t="s">
        <v>149</v>
      </c>
      <c r="D19" t="s">
        <v>150</v>
      </c>
      <c r="E19" s="10">
        <v>2.8125</v>
      </c>
      <c r="F19" s="6"/>
      <c r="G19" s="6"/>
      <c r="H19" s="6"/>
      <c r="I19" s="6"/>
      <c r="J19" s="6"/>
      <c r="K19" s="10">
        <f>IF(AND(ISNUMBER(G19),ISNUMBER(I19)),G19-I19,"")</f>
        <v/>
      </c>
      <c r="L19" s="10">
        <f>IF(AND(ISNUMBER(H19),ISNUMBER(J19)),H19-J19,"")</f>
        <v/>
      </c>
    </row>
    <row r="20" spans="1:12">
      <c r="A20" t="s">
        <v>75</v>
      </c>
      <c r="B20" t="s">
        <v>151</v>
      </c>
      <c r="C20" t="s">
        <v>152</v>
      </c>
      <c r="D20" t="s">
        <v>150</v>
      </c>
      <c r="E20" s="10">
        <v>2.8125</v>
      </c>
      <c r="F20" s="6"/>
      <c r="G20" s="6"/>
      <c r="H20" s="6"/>
      <c r="I20" s="6"/>
      <c r="J20" s="6"/>
      <c r="K20" s="10">
        <f>IF(AND(ISNUMBER(G20),ISNUMBER(I20)),G20-I20,"")</f>
        <v/>
      </c>
      <c r="L20" s="10">
        <f>IF(AND(ISNUMBER(H20),ISNUMBER(J20)),H20-J20,"")</f>
        <v/>
      </c>
    </row>
    <row r="21" spans="1:12">
      <c r="A21" t="s">
        <v>75</v>
      </c>
      <c r="B21" t="s">
        <v>153</v>
      </c>
      <c r="C21" t="s">
        <v>154</v>
      </c>
      <c r="F21" s="6"/>
      <c r="G21" s="6"/>
      <c r="H21" s="6">
        <v>3</v>
      </c>
      <c r="I21" s="6"/>
      <c r="J21" s="6"/>
      <c r="K21" s="10">
        <f>IF(AND(ISNUMBER(G21),ISNUMBER(I21)),G21-I21,"")</f>
        <v/>
      </c>
      <c r="L21" s="10">
        <f>IF(AND(ISNUMBER(H21),ISNUMBER(J21)),H21-J21,"")</f>
        <v/>
      </c>
    </row>
    <row r="22" spans="1:12">
      <c r="A22" t="s">
        <v>76</v>
      </c>
      <c r="B22" t="s">
        <v>143</v>
      </c>
      <c r="C22" t="s">
        <v>144</v>
      </c>
      <c r="D22" t="s">
        <v>145</v>
      </c>
      <c r="E22" s="10">
        <v>10.2</v>
      </c>
      <c r="F22" s="6"/>
      <c r="G22" s="6"/>
      <c r="H22" s="6"/>
      <c r="I22" s="6"/>
      <c r="J22" s="6"/>
      <c r="K22" s="10">
        <f>IF(AND(ISNUMBER(G22),ISNUMBER(I22)),G22-I22,"")</f>
        <v/>
      </c>
      <c r="L22" s="10">
        <f>IF(AND(ISNUMBER(H22),ISNUMBER(J22)),H22-J22,"")</f>
        <v/>
      </c>
    </row>
    <row r="23" spans="1:12">
      <c r="A23" t="s">
        <v>76</v>
      </c>
      <c r="B23" t="s">
        <v>146</v>
      </c>
      <c r="C23" t="s">
        <v>147</v>
      </c>
      <c r="D23" t="s">
        <v>145</v>
      </c>
      <c r="E23" s="10">
        <v>8.924999999999999</v>
      </c>
      <c r="F23" s="6"/>
      <c r="G23" s="6"/>
      <c r="H23" s="6"/>
      <c r="I23" s="6"/>
      <c r="J23" s="6"/>
      <c r="K23" s="10">
        <f>IF(AND(ISNUMBER(G23),ISNUMBER(I23)),G23-I23,"")</f>
        <v/>
      </c>
      <c r="L23" s="10">
        <f>IF(AND(ISNUMBER(H23),ISNUMBER(J23)),H23-J23,"")</f>
        <v/>
      </c>
    </row>
    <row r="24" spans="1:12">
      <c r="A24" t="s">
        <v>76</v>
      </c>
      <c r="B24" t="s">
        <v>148</v>
      </c>
      <c r="C24" t="s">
        <v>149</v>
      </c>
      <c r="D24" t="s">
        <v>150</v>
      </c>
      <c r="E24" s="10">
        <v>3.1875</v>
      </c>
      <c r="F24" s="6"/>
      <c r="G24" s="6"/>
      <c r="H24" s="6"/>
      <c r="I24" s="6"/>
      <c r="J24" s="6"/>
      <c r="K24" s="10">
        <f>IF(AND(ISNUMBER(G24),ISNUMBER(I24)),G24-I24,"")</f>
        <v/>
      </c>
      <c r="L24" s="10">
        <f>IF(AND(ISNUMBER(H24),ISNUMBER(J24)),H24-J24,"")</f>
        <v/>
      </c>
    </row>
    <row r="25" spans="1:12">
      <c r="A25" t="s">
        <v>76</v>
      </c>
      <c r="B25" t="s">
        <v>153</v>
      </c>
      <c r="C25" t="s">
        <v>154</v>
      </c>
      <c r="E25" s="10">
        <v>3.1875</v>
      </c>
      <c r="F25" s="6"/>
      <c r="G25" s="6"/>
      <c r="H25" s="6"/>
      <c r="I25" s="6"/>
      <c r="J25" s="6"/>
      <c r="K25" s="10">
        <f>IF(AND(ISNUMBER(G25),ISNUMBER(I25)),G25-I25,"")</f>
        <v/>
      </c>
      <c r="L25" s="10">
        <f>IF(AND(ISNUMBER(H25),ISNUMBER(J25)),H25-J25,"")</f>
        <v/>
      </c>
    </row>
    <row r="26" spans="1:12">
      <c r="A26" t="s">
        <v>77</v>
      </c>
      <c r="B26" t="s">
        <v>143</v>
      </c>
      <c r="C26" t="s">
        <v>144</v>
      </c>
      <c r="D26" t="s">
        <v>145</v>
      </c>
      <c r="E26" s="10">
        <v>9.600000000000001</v>
      </c>
      <c r="F26" s="6">
        <v>9</v>
      </c>
      <c r="G26" s="6"/>
      <c r="H26" s="6"/>
      <c r="I26" s="6"/>
      <c r="J26" s="6"/>
      <c r="K26" s="10">
        <f>IF(AND(ISNUMBER(G26),ISNUMBER(I26)),G26-I26,"")</f>
        <v/>
      </c>
      <c r="L26" s="10">
        <f>IF(AND(ISNUMBER(H26),ISNUMBER(J26)),H26-J26,"")</f>
        <v/>
      </c>
    </row>
    <row r="27" spans="1:12">
      <c r="A27" t="s">
        <v>77</v>
      </c>
      <c r="B27" t="s">
        <v>146</v>
      </c>
      <c r="C27" t="s">
        <v>147</v>
      </c>
      <c r="D27" t="s">
        <v>145</v>
      </c>
      <c r="E27" s="10">
        <v>8.399999999999999</v>
      </c>
      <c r="F27" s="6">
        <v>8</v>
      </c>
      <c r="G27" s="6"/>
      <c r="H27" s="6"/>
      <c r="I27" s="6"/>
      <c r="J27" s="6"/>
      <c r="K27" s="10">
        <f>IF(AND(ISNUMBER(G27),ISNUMBER(I27)),G27-I27,"")</f>
        <v/>
      </c>
      <c r="L27" s="10">
        <f>IF(AND(ISNUMBER(H27),ISNUMBER(J27)),H27-J27,"")</f>
        <v/>
      </c>
    </row>
    <row r="28" spans="1:12">
      <c r="A28" t="s">
        <v>77</v>
      </c>
      <c r="B28" t="s">
        <v>148</v>
      </c>
      <c r="C28" t="s">
        <v>149</v>
      </c>
      <c r="D28" t="s">
        <v>150</v>
      </c>
      <c r="E28" s="10">
        <v>3</v>
      </c>
      <c r="F28" s="6"/>
      <c r="G28" s="6"/>
      <c r="H28" s="6"/>
      <c r="I28" s="6"/>
      <c r="J28" s="6"/>
      <c r="K28" s="10">
        <f>IF(AND(ISNUMBER(G28),ISNUMBER(I28)),G28-I28,"")</f>
        <v/>
      </c>
      <c r="L28" s="10">
        <f>IF(AND(ISNUMBER(H28),ISNUMBER(J28)),H28-J28,"")</f>
        <v/>
      </c>
    </row>
    <row r="29" spans="1:12">
      <c r="A29" t="s">
        <v>77</v>
      </c>
      <c r="B29" t="s">
        <v>153</v>
      </c>
      <c r="C29" t="s">
        <v>154</v>
      </c>
      <c r="E29" s="10">
        <v>3</v>
      </c>
      <c r="F29" s="6"/>
      <c r="G29" s="6"/>
      <c r="H29" s="6"/>
      <c r="I29" s="6"/>
      <c r="J29" s="6"/>
      <c r="K29" s="10">
        <f>IF(AND(ISNUMBER(G29),ISNUMBER(I29)),G29-I29,"")</f>
        <v/>
      </c>
      <c r="L29" s="10">
        <f>IF(AND(ISNUMBER(H29),ISNUMBER(J29)),H29-J29,"")</f>
        <v/>
      </c>
    </row>
    <row r="30" spans="1:12">
      <c r="A30" t="s">
        <v>78</v>
      </c>
      <c r="B30" t="s">
        <v>143</v>
      </c>
      <c r="C30" t="s">
        <v>144</v>
      </c>
      <c r="D30" t="s">
        <v>145</v>
      </c>
      <c r="E30" s="10">
        <v>15.9</v>
      </c>
      <c r="F30" s="6"/>
      <c r="G30" s="6"/>
      <c r="H30" s="6"/>
      <c r="I30" s="6"/>
      <c r="J30" s="6"/>
      <c r="K30" s="10">
        <f>IF(AND(ISNUMBER(G30),ISNUMBER(I30)),G30-I30,"")</f>
        <v/>
      </c>
      <c r="L30" s="10">
        <f>IF(AND(ISNUMBER(H30),ISNUMBER(J30)),H30-J30,"")</f>
        <v/>
      </c>
    </row>
    <row r="31" spans="1:12">
      <c r="A31" t="s">
        <v>78</v>
      </c>
      <c r="B31" t="s">
        <v>146</v>
      </c>
      <c r="C31" t="s">
        <v>147</v>
      </c>
      <c r="D31" t="s">
        <v>145</v>
      </c>
      <c r="E31" s="10">
        <v>13.9125</v>
      </c>
      <c r="F31" s="6"/>
      <c r="G31" s="6"/>
      <c r="H31" s="6"/>
      <c r="I31" s="6"/>
      <c r="J31" s="6"/>
      <c r="K31" s="10">
        <f>IF(AND(ISNUMBER(G31),ISNUMBER(I31)),G31-I31,"")</f>
        <v/>
      </c>
      <c r="L31" s="10">
        <f>IF(AND(ISNUMBER(H31),ISNUMBER(J31)),H31-J31,"")</f>
        <v/>
      </c>
    </row>
    <row r="32" spans="1:12">
      <c r="A32" t="s">
        <v>78</v>
      </c>
      <c r="B32" t="s">
        <v>148</v>
      </c>
      <c r="C32" t="s">
        <v>149</v>
      </c>
      <c r="D32" t="s">
        <v>150</v>
      </c>
      <c r="E32" s="10">
        <v>4.96875</v>
      </c>
      <c r="F32" s="6"/>
      <c r="G32" s="6"/>
      <c r="H32" s="6"/>
      <c r="I32" s="6"/>
      <c r="J32" s="6"/>
      <c r="K32" s="10">
        <f>IF(AND(ISNUMBER(G32),ISNUMBER(I32)),G32-I32,"")</f>
        <v/>
      </c>
      <c r="L32" s="10">
        <f>IF(AND(ISNUMBER(H32),ISNUMBER(J32)),H32-J32,"")</f>
        <v/>
      </c>
    </row>
    <row r="33" spans="1:12">
      <c r="A33" t="s">
        <v>78</v>
      </c>
      <c r="B33" t="s">
        <v>153</v>
      </c>
      <c r="C33" t="s">
        <v>154</v>
      </c>
      <c r="E33" s="10">
        <v>4.96875</v>
      </c>
      <c r="F33" s="6"/>
      <c r="G33" s="6"/>
      <c r="H33" s="6"/>
      <c r="I33" s="6"/>
      <c r="J33" s="6"/>
      <c r="K33" s="10">
        <f>IF(AND(ISNUMBER(G33),ISNUMBER(I33)),G33-I33,"")</f>
        <v/>
      </c>
      <c r="L33" s="10">
        <f>IF(AND(ISNUMBER(H33),ISNUMBER(J33)),H33-J33,"")</f>
        <v/>
      </c>
    </row>
    <row r="34" spans="1:12">
      <c r="A34" t="s">
        <v>80</v>
      </c>
      <c r="B34" t="s">
        <v>143</v>
      </c>
      <c r="C34" t="s">
        <v>144</v>
      </c>
      <c r="D34" t="s">
        <v>145</v>
      </c>
      <c r="E34" s="10">
        <v>18</v>
      </c>
      <c r="F34" s="6"/>
      <c r="G34" s="6"/>
      <c r="H34" s="6"/>
      <c r="I34" s="6"/>
      <c r="J34" s="6"/>
      <c r="K34" s="10">
        <f>IF(AND(ISNUMBER(G34),ISNUMBER(I34)),G34-I34,"")</f>
        <v/>
      </c>
      <c r="L34" s="10">
        <f>IF(AND(ISNUMBER(H34),ISNUMBER(J34)),H34-J34,"")</f>
        <v/>
      </c>
    </row>
    <row r="35" spans="1:12">
      <c r="A35" t="s">
        <v>80</v>
      </c>
      <c r="B35" t="s">
        <v>146</v>
      </c>
      <c r="C35" t="s">
        <v>147</v>
      </c>
      <c r="D35" t="s">
        <v>145</v>
      </c>
      <c r="E35" s="10">
        <v>15.75</v>
      </c>
      <c r="F35" s="6"/>
      <c r="G35" s="6"/>
      <c r="H35" s="6"/>
      <c r="I35" s="6"/>
      <c r="J35" s="6"/>
      <c r="K35" s="10">
        <f>IF(AND(ISNUMBER(G35),ISNUMBER(I35)),G35-I35,"")</f>
        <v/>
      </c>
      <c r="L35" s="10">
        <f>IF(AND(ISNUMBER(H35),ISNUMBER(J35)),H35-J35,"")</f>
        <v/>
      </c>
    </row>
    <row r="36" spans="1:12">
      <c r="A36" t="s">
        <v>80</v>
      </c>
      <c r="B36" t="s">
        <v>148</v>
      </c>
      <c r="C36" t="s">
        <v>149</v>
      </c>
      <c r="D36" t="s">
        <v>150</v>
      </c>
      <c r="E36" s="10">
        <v>5.625</v>
      </c>
      <c r="F36" s="6"/>
      <c r="G36" s="6"/>
      <c r="H36" s="6"/>
      <c r="I36" s="6"/>
      <c r="J36" s="6"/>
      <c r="K36" s="10">
        <f>IF(AND(ISNUMBER(G36),ISNUMBER(I36)),G36-I36,"")</f>
        <v/>
      </c>
      <c r="L36" s="10">
        <f>IF(AND(ISNUMBER(H36),ISNUMBER(J36)),H36-J36,"")</f>
        <v/>
      </c>
    </row>
    <row r="37" spans="1:12">
      <c r="A37" t="s">
        <v>80</v>
      </c>
      <c r="B37" t="s">
        <v>153</v>
      </c>
      <c r="C37" t="s">
        <v>154</v>
      </c>
      <c r="E37" s="10">
        <v>5.625</v>
      </c>
      <c r="F37" s="6"/>
      <c r="G37" s="6"/>
      <c r="H37" s="6"/>
      <c r="I37" s="6"/>
      <c r="J37" s="6"/>
      <c r="K37" s="10">
        <f>IF(AND(ISNUMBER(G37),ISNUMBER(I37)),G37-I37,"")</f>
        <v/>
      </c>
      <c r="L37" s="10">
        <f>IF(AND(ISNUMBER(H37),ISNUMBER(J37)),H37-J37,"")</f>
        <v/>
      </c>
    </row>
    <row r="38" spans="1:12">
      <c r="A38" t="s">
        <v>81</v>
      </c>
      <c r="B38" t="s">
        <v>143</v>
      </c>
      <c r="C38" t="s">
        <v>144</v>
      </c>
      <c r="D38" t="s">
        <v>145</v>
      </c>
      <c r="E38" s="10">
        <v>16.71</v>
      </c>
      <c r="F38" s="6"/>
      <c r="G38" s="6"/>
      <c r="H38" s="6"/>
      <c r="I38" s="6"/>
      <c r="J38" s="6"/>
      <c r="K38" s="10">
        <f>IF(AND(ISNUMBER(G38),ISNUMBER(I38)),G38-I38,"")</f>
        <v/>
      </c>
      <c r="L38" s="10">
        <f>IF(AND(ISNUMBER(H38),ISNUMBER(J38)),H38-J38,"")</f>
        <v/>
      </c>
    </row>
    <row r="39" spans="1:12">
      <c r="A39" t="s">
        <v>81</v>
      </c>
      <c r="B39" t="s">
        <v>146</v>
      </c>
      <c r="C39" t="s">
        <v>147</v>
      </c>
      <c r="D39" t="s">
        <v>145</v>
      </c>
      <c r="E39" s="10">
        <v>14.62125</v>
      </c>
      <c r="F39" s="6"/>
      <c r="G39" s="6"/>
      <c r="H39" s="6"/>
      <c r="I39" s="6"/>
      <c r="J39" s="6"/>
      <c r="K39" s="10">
        <f>IF(AND(ISNUMBER(G39),ISNUMBER(I39)),G39-I39,"")</f>
        <v/>
      </c>
      <c r="L39" s="10">
        <f>IF(AND(ISNUMBER(H39),ISNUMBER(J39)),H39-J39,"")</f>
        <v/>
      </c>
    </row>
    <row r="40" spans="1:12">
      <c r="A40" t="s">
        <v>81</v>
      </c>
      <c r="B40" t="s">
        <v>148</v>
      </c>
      <c r="C40" t="s">
        <v>149</v>
      </c>
      <c r="D40" t="s">
        <v>150</v>
      </c>
      <c r="E40" s="10">
        <v>5.221875000000001</v>
      </c>
      <c r="F40" s="6"/>
      <c r="G40" s="6"/>
      <c r="H40" s="6"/>
      <c r="I40" s="6"/>
      <c r="J40" s="6"/>
      <c r="K40" s="10">
        <f>IF(AND(ISNUMBER(G40),ISNUMBER(I40)),G40-I40,"")</f>
        <v/>
      </c>
      <c r="L40" s="10">
        <f>IF(AND(ISNUMBER(H40),ISNUMBER(J40)),H40-J40,"")</f>
        <v/>
      </c>
    </row>
    <row r="41" spans="1:12">
      <c r="A41" t="s">
        <v>81</v>
      </c>
      <c r="B41" t="s">
        <v>153</v>
      </c>
      <c r="C41" t="s">
        <v>154</v>
      </c>
      <c r="E41" s="10">
        <v>5.221875000000001</v>
      </c>
      <c r="F41" s="6"/>
      <c r="G41" s="6"/>
      <c r="H41" s="6"/>
      <c r="I41" s="6"/>
      <c r="J41" s="6"/>
      <c r="K41" s="10">
        <f>IF(AND(ISNUMBER(G41),ISNUMBER(I41)),G41-I41,"")</f>
        <v/>
      </c>
      <c r="L41" s="10">
        <f>IF(AND(ISNUMBER(H41),ISNUMBER(J41)),H41-J41,"")</f>
        <v/>
      </c>
    </row>
    <row r="42" spans="1:12">
      <c r="A42" t="s">
        <v>82</v>
      </c>
      <c r="B42" t="s">
        <v>143</v>
      </c>
      <c r="C42" t="s">
        <v>144</v>
      </c>
      <c r="D42" t="s">
        <v>145</v>
      </c>
      <c r="E42" s="10">
        <v>15.15</v>
      </c>
      <c r="F42" s="6"/>
      <c r="G42" s="6"/>
      <c r="H42" s="6"/>
      <c r="I42" s="6"/>
      <c r="J42" s="6"/>
      <c r="K42" s="10">
        <f>IF(AND(ISNUMBER(G42),ISNUMBER(I42)),G42-I42,"")</f>
        <v/>
      </c>
      <c r="L42" s="10">
        <f>IF(AND(ISNUMBER(H42),ISNUMBER(J42)),H42-J42,"")</f>
        <v/>
      </c>
    </row>
    <row r="43" spans="1:12">
      <c r="A43" t="s">
        <v>82</v>
      </c>
      <c r="B43" t="s">
        <v>146</v>
      </c>
      <c r="C43" t="s">
        <v>147</v>
      </c>
      <c r="D43" t="s">
        <v>145</v>
      </c>
      <c r="E43" s="10">
        <v>13.25625</v>
      </c>
      <c r="F43" s="6"/>
      <c r="G43" s="6"/>
      <c r="H43" s="6"/>
      <c r="I43" s="6"/>
      <c r="J43" s="6"/>
      <c r="K43" s="10">
        <f>IF(AND(ISNUMBER(G43),ISNUMBER(I43)),G43-I43,"")</f>
        <v/>
      </c>
      <c r="L43" s="10">
        <f>IF(AND(ISNUMBER(H43),ISNUMBER(J43)),H43-J43,"")</f>
        <v/>
      </c>
    </row>
    <row r="44" spans="1:12">
      <c r="A44" t="s">
        <v>82</v>
      </c>
      <c r="B44" t="s">
        <v>148</v>
      </c>
      <c r="C44" t="s">
        <v>149</v>
      </c>
      <c r="D44" t="s">
        <v>150</v>
      </c>
      <c r="E44" s="10">
        <v>4.734375</v>
      </c>
      <c r="F44" s="6"/>
      <c r="G44" s="6"/>
      <c r="H44" s="6"/>
      <c r="I44" s="6"/>
      <c r="J44" s="6"/>
      <c r="K44" s="10">
        <f>IF(AND(ISNUMBER(G44),ISNUMBER(I44)),G44-I44,"")</f>
        <v/>
      </c>
      <c r="L44" s="10">
        <f>IF(AND(ISNUMBER(H44),ISNUMBER(J44)),H44-J44,"")</f>
        <v/>
      </c>
    </row>
    <row r="45" spans="1:12">
      <c r="A45" t="s">
        <v>82</v>
      </c>
      <c r="B45" t="s">
        <v>153</v>
      </c>
      <c r="C45" t="s">
        <v>154</v>
      </c>
      <c r="E45" s="10">
        <v>4.734375</v>
      </c>
      <c r="F45" s="6"/>
      <c r="G45" s="6"/>
      <c r="H45" s="6"/>
      <c r="I45" s="6"/>
      <c r="J45" s="6"/>
      <c r="K45" s="10">
        <f>IF(AND(ISNUMBER(G45),ISNUMBER(I45)),G45-I45,"")</f>
        <v/>
      </c>
      <c r="L45" s="10">
        <f>IF(AND(ISNUMBER(H45),ISNUMBER(J45)),H45-J45,"")</f>
        <v/>
      </c>
    </row>
    <row r="46" spans="1:12">
      <c r="A46" t="s">
        <v>83</v>
      </c>
      <c r="B46" t="s">
        <v>143</v>
      </c>
      <c r="C46" t="s">
        <v>144</v>
      </c>
      <c r="D46" t="s">
        <v>145</v>
      </c>
      <c r="E46" s="10">
        <v>17.04</v>
      </c>
      <c r="F46" s="6"/>
      <c r="G46" s="6"/>
      <c r="H46" s="6"/>
      <c r="I46" s="6"/>
      <c r="J46" s="6"/>
      <c r="K46" s="10">
        <f>IF(AND(ISNUMBER(G46),ISNUMBER(I46)),G46-I46,"")</f>
        <v/>
      </c>
      <c r="L46" s="10">
        <f>IF(AND(ISNUMBER(H46),ISNUMBER(J46)),H46-J46,"")</f>
        <v/>
      </c>
    </row>
    <row r="47" spans="1:12">
      <c r="A47" t="s">
        <v>83</v>
      </c>
      <c r="B47" t="s">
        <v>146</v>
      </c>
      <c r="C47" t="s">
        <v>147</v>
      </c>
      <c r="D47" t="s">
        <v>145</v>
      </c>
      <c r="E47" s="10">
        <v>14.91</v>
      </c>
      <c r="F47" s="6"/>
      <c r="G47" s="6"/>
      <c r="H47" s="6"/>
      <c r="I47" s="6"/>
      <c r="J47" s="6"/>
      <c r="K47" s="10">
        <f>IF(AND(ISNUMBER(G47),ISNUMBER(I47)),G47-I47,"")</f>
        <v/>
      </c>
      <c r="L47" s="10">
        <f>IF(AND(ISNUMBER(H47),ISNUMBER(J47)),H47-J47,"")</f>
        <v/>
      </c>
    </row>
    <row r="48" spans="1:12">
      <c r="A48" t="s">
        <v>83</v>
      </c>
      <c r="B48" t="s">
        <v>148</v>
      </c>
      <c r="C48" t="s">
        <v>149</v>
      </c>
      <c r="D48" t="s">
        <v>150</v>
      </c>
      <c r="E48" s="10">
        <v>5.324999999999999</v>
      </c>
      <c r="F48" s="6"/>
      <c r="G48" s="6"/>
      <c r="H48" s="6"/>
      <c r="I48" s="6"/>
      <c r="J48" s="6"/>
      <c r="K48" s="10">
        <f>IF(AND(ISNUMBER(G48),ISNUMBER(I48)),G48-I48,"")</f>
        <v/>
      </c>
      <c r="L48" s="10">
        <f>IF(AND(ISNUMBER(H48),ISNUMBER(J48)),H48-J48,"")</f>
        <v/>
      </c>
    </row>
    <row r="49" spans="1:12">
      <c r="A49" t="s">
        <v>83</v>
      </c>
      <c r="B49" t="s">
        <v>153</v>
      </c>
      <c r="C49" t="s">
        <v>154</v>
      </c>
      <c r="E49" s="10">
        <v>5.324999999999999</v>
      </c>
      <c r="F49" s="6"/>
      <c r="G49" s="6"/>
      <c r="H49" s="6"/>
      <c r="I49" s="6"/>
      <c r="J49" s="6"/>
      <c r="K49" s="10">
        <f>IF(AND(ISNUMBER(G49),ISNUMBER(I49)),G49-I49,"")</f>
        <v/>
      </c>
      <c r="L49" s="10">
        <f>IF(AND(ISNUMBER(H49),ISNUMBER(J49)),H49-J49,"")</f>
        <v/>
      </c>
    </row>
    <row r="50" spans="1:12">
      <c r="A50" t="s">
        <v>84</v>
      </c>
      <c r="B50" t="s">
        <v>143</v>
      </c>
      <c r="C50" t="s">
        <v>144</v>
      </c>
      <c r="D50" t="s">
        <v>145</v>
      </c>
      <c r="E50" s="10">
        <v>17.55</v>
      </c>
      <c r="F50" s="6"/>
      <c r="G50" s="6"/>
      <c r="H50" s="6"/>
      <c r="I50" s="6"/>
      <c r="J50" s="6"/>
      <c r="K50" s="10">
        <f>IF(AND(ISNUMBER(G50),ISNUMBER(I50)),G50-I50,"")</f>
        <v/>
      </c>
      <c r="L50" s="10">
        <f>IF(AND(ISNUMBER(H50),ISNUMBER(J50)),H50-J50,"")</f>
        <v/>
      </c>
    </row>
    <row r="51" spans="1:12">
      <c r="A51" t="s">
        <v>84</v>
      </c>
      <c r="B51" t="s">
        <v>146</v>
      </c>
      <c r="C51" t="s">
        <v>147</v>
      </c>
      <c r="D51" t="s">
        <v>145</v>
      </c>
      <c r="E51" s="10">
        <v>15.35625</v>
      </c>
      <c r="F51" s="6"/>
      <c r="G51" s="6"/>
      <c r="H51" s="6"/>
      <c r="I51" s="6"/>
      <c r="J51" s="6"/>
      <c r="K51" s="10">
        <f>IF(AND(ISNUMBER(G51),ISNUMBER(I51)),G51-I51,"")</f>
        <v/>
      </c>
      <c r="L51" s="10">
        <f>IF(AND(ISNUMBER(H51),ISNUMBER(J51)),H51-J51,"")</f>
        <v/>
      </c>
    </row>
    <row r="52" spans="1:12">
      <c r="A52" t="s">
        <v>84</v>
      </c>
      <c r="B52" t="s">
        <v>148</v>
      </c>
      <c r="C52" t="s">
        <v>149</v>
      </c>
      <c r="D52" t="s">
        <v>150</v>
      </c>
      <c r="E52" s="10">
        <v>5.484375</v>
      </c>
      <c r="F52" s="6"/>
      <c r="G52" s="6"/>
      <c r="H52" s="6"/>
      <c r="I52" s="6"/>
      <c r="J52" s="6"/>
      <c r="K52" s="10">
        <f>IF(AND(ISNUMBER(G52),ISNUMBER(I52)),G52-I52,"")</f>
        <v/>
      </c>
      <c r="L52" s="10">
        <f>IF(AND(ISNUMBER(H52),ISNUMBER(J52)),H52-J52,"")</f>
        <v/>
      </c>
    </row>
    <row r="53" spans="1:12">
      <c r="A53" t="s">
        <v>84</v>
      </c>
      <c r="B53" t="s">
        <v>153</v>
      </c>
      <c r="C53" t="s">
        <v>154</v>
      </c>
      <c r="E53" s="10">
        <v>5.484375</v>
      </c>
      <c r="F53" s="6"/>
      <c r="G53" s="6"/>
      <c r="H53" s="6"/>
      <c r="I53" s="6"/>
      <c r="J53" s="6"/>
      <c r="K53" s="10">
        <f>IF(AND(ISNUMBER(G53),ISNUMBER(I53)),G53-I53,"")</f>
        <v/>
      </c>
      <c r="L53" s="10">
        <f>IF(AND(ISNUMBER(H53),ISNUMBER(J53)),H53-J53,"")</f>
        <v/>
      </c>
    </row>
    <row r="54" spans="1:12">
      <c r="A54" t="s">
        <v>85</v>
      </c>
      <c r="B54" t="s">
        <v>143</v>
      </c>
      <c r="C54" t="s">
        <v>144</v>
      </c>
      <c r="D54" t="s">
        <v>145</v>
      </c>
      <c r="E54" s="10">
        <v>17.76</v>
      </c>
      <c r="F54" s="6"/>
      <c r="G54" s="6"/>
      <c r="H54" s="6"/>
      <c r="I54" s="6"/>
      <c r="J54" s="6"/>
      <c r="K54" s="10">
        <f>IF(AND(ISNUMBER(G54),ISNUMBER(I54)),G54-I54,"")</f>
        <v/>
      </c>
      <c r="L54" s="10">
        <f>IF(AND(ISNUMBER(H54),ISNUMBER(J54)),H54-J54,"")</f>
        <v/>
      </c>
    </row>
    <row r="55" spans="1:12">
      <c r="A55" t="s">
        <v>85</v>
      </c>
      <c r="B55" t="s">
        <v>146</v>
      </c>
      <c r="C55" t="s">
        <v>147</v>
      </c>
      <c r="D55" t="s">
        <v>145</v>
      </c>
      <c r="E55" s="10">
        <v>15.54</v>
      </c>
      <c r="F55" s="6"/>
      <c r="G55" s="6"/>
      <c r="H55" s="6"/>
      <c r="I55" s="6"/>
      <c r="J55" s="6"/>
      <c r="K55" s="10">
        <f>IF(AND(ISNUMBER(G55),ISNUMBER(I55)),G55-I55,"")</f>
        <v/>
      </c>
      <c r="L55" s="10">
        <f>IF(AND(ISNUMBER(H55),ISNUMBER(J55)),H55-J55,"")</f>
        <v/>
      </c>
    </row>
    <row r="56" spans="1:12">
      <c r="A56" t="s">
        <v>85</v>
      </c>
      <c r="B56" t="s">
        <v>148</v>
      </c>
      <c r="C56" t="s">
        <v>149</v>
      </c>
      <c r="D56" t="s">
        <v>150</v>
      </c>
      <c r="E56" s="10">
        <v>5.550000000000001</v>
      </c>
      <c r="F56" s="6"/>
      <c r="G56" s="6"/>
      <c r="H56" s="6"/>
      <c r="I56" s="6"/>
      <c r="J56" s="6"/>
      <c r="K56" s="10">
        <f>IF(AND(ISNUMBER(G56),ISNUMBER(I56)),G56-I56,"")</f>
        <v/>
      </c>
      <c r="L56" s="10">
        <f>IF(AND(ISNUMBER(H56),ISNUMBER(J56)),H56-J56,"")</f>
        <v/>
      </c>
    </row>
    <row r="57" spans="1:12">
      <c r="A57" t="s">
        <v>85</v>
      </c>
      <c r="B57" t="s">
        <v>153</v>
      </c>
      <c r="C57" t="s">
        <v>154</v>
      </c>
      <c r="E57" s="10">
        <v>5.550000000000001</v>
      </c>
      <c r="F57" s="6"/>
      <c r="G57" s="6"/>
      <c r="H57" s="6"/>
      <c r="I57" s="6"/>
      <c r="J57" s="6"/>
      <c r="K57" s="10">
        <f>IF(AND(ISNUMBER(G57),ISNUMBER(I57)),G57-I57,"")</f>
        <v/>
      </c>
      <c r="L57" s="10">
        <f>IF(AND(ISNUMBER(H57),ISNUMBER(J57)),H57-J57,"")</f>
        <v/>
      </c>
    </row>
    <row r="58" spans="1:12">
      <c r="A58" t="s">
        <v>86</v>
      </c>
      <c r="B58" t="s">
        <v>143</v>
      </c>
      <c r="C58" t="s">
        <v>144</v>
      </c>
      <c r="D58" t="s">
        <v>145</v>
      </c>
      <c r="E58" s="10">
        <v>18</v>
      </c>
      <c r="F58" s="6"/>
      <c r="G58" s="6"/>
      <c r="H58" s="6"/>
      <c r="I58" s="6"/>
      <c r="J58" s="6"/>
      <c r="K58" s="10">
        <f>IF(AND(ISNUMBER(G58),ISNUMBER(I58)),G58-I58,"")</f>
        <v/>
      </c>
      <c r="L58" s="10">
        <f>IF(AND(ISNUMBER(H58),ISNUMBER(J58)),H58-J58,"")</f>
        <v/>
      </c>
    </row>
    <row r="59" spans="1:12">
      <c r="A59" t="s">
        <v>86</v>
      </c>
      <c r="B59" t="s">
        <v>146</v>
      </c>
      <c r="C59" t="s">
        <v>147</v>
      </c>
      <c r="D59" t="s">
        <v>145</v>
      </c>
      <c r="E59" s="10">
        <v>15.75</v>
      </c>
      <c r="F59" s="6"/>
      <c r="G59" s="6"/>
      <c r="H59" s="6"/>
      <c r="I59" s="6"/>
      <c r="J59" s="6"/>
      <c r="K59" s="10">
        <f>IF(AND(ISNUMBER(G59),ISNUMBER(I59)),G59-I59,"")</f>
        <v/>
      </c>
      <c r="L59" s="10">
        <f>IF(AND(ISNUMBER(H59),ISNUMBER(J59)),H59-J59,"")</f>
        <v/>
      </c>
    </row>
    <row r="60" spans="1:12">
      <c r="A60" t="s">
        <v>86</v>
      </c>
      <c r="B60" t="s">
        <v>148</v>
      </c>
      <c r="C60" t="s">
        <v>149</v>
      </c>
      <c r="D60" t="s">
        <v>150</v>
      </c>
      <c r="E60" s="10">
        <v>5.625</v>
      </c>
      <c r="F60" s="6"/>
      <c r="G60" s="6"/>
      <c r="H60" s="6"/>
      <c r="I60" s="6"/>
      <c r="J60" s="6"/>
      <c r="K60" s="10">
        <f>IF(AND(ISNUMBER(G60),ISNUMBER(I60)),G60-I60,"")</f>
        <v/>
      </c>
      <c r="L60" s="10">
        <f>IF(AND(ISNUMBER(H60),ISNUMBER(J60)),H60-J60,"")</f>
        <v/>
      </c>
    </row>
    <row r="61" spans="1:12">
      <c r="A61" t="s">
        <v>86</v>
      </c>
      <c r="B61" t="s">
        <v>153</v>
      </c>
      <c r="C61" t="s">
        <v>154</v>
      </c>
      <c r="E61" s="10">
        <v>5.625</v>
      </c>
      <c r="F61" s="6"/>
      <c r="G61" s="6"/>
      <c r="H61" s="6"/>
      <c r="I61" s="6"/>
      <c r="J61" s="6"/>
      <c r="K61" s="10">
        <f>IF(AND(ISNUMBER(G61),ISNUMBER(I61)),G61-I61,"")</f>
        <v/>
      </c>
      <c r="L61" s="10">
        <f>IF(AND(ISNUMBER(H61),ISNUMBER(J61)),H61-J61,"")</f>
        <v/>
      </c>
    </row>
    <row r="62" spans="1:12">
      <c r="A62" t="s">
        <v>87</v>
      </c>
      <c r="B62" t="s">
        <v>143</v>
      </c>
      <c r="C62" t="s">
        <v>144</v>
      </c>
      <c r="D62" t="s">
        <v>145</v>
      </c>
      <c r="E62" s="10">
        <v>18</v>
      </c>
      <c r="F62" s="6"/>
      <c r="G62" s="6"/>
      <c r="H62" s="6"/>
      <c r="I62" s="6"/>
      <c r="J62" s="6"/>
      <c r="K62" s="10">
        <f>IF(AND(ISNUMBER(G62),ISNUMBER(I62)),G62-I62,"")</f>
        <v/>
      </c>
      <c r="L62" s="10">
        <f>IF(AND(ISNUMBER(H62),ISNUMBER(J62)),H62-J62,"")</f>
        <v/>
      </c>
    </row>
    <row r="63" spans="1:12">
      <c r="A63" t="s">
        <v>87</v>
      </c>
      <c r="B63" t="s">
        <v>146</v>
      </c>
      <c r="C63" t="s">
        <v>147</v>
      </c>
      <c r="D63" t="s">
        <v>145</v>
      </c>
      <c r="E63" s="10">
        <v>15.75</v>
      </c>
      <c r="F63" s="6"/>
      <c r="G63" s="6"/>
      <c r="H63" s="6"/>
      <c r="I63" s="6"/>
      <c r="J63" s="6"/>
      <c r="K63" s="10">
        <f>IF(AND(ISNUMBER(G63),ISNUMBER(I63)),G63-I63,"")</f>
        <v/>
      </c>
      <c r="L63" s="10">
        <f>IF(AND(ISNUMBER(H63),ISNUMBER(J63)),H63-J63,"")</f>
        <v/>
      </c>
    </row>
    <row r="64" spans="1:12">
      <c r="A64" t="s">
        <v>87</v>
      </c>
      <c r="B64" t="s">
        <v>148</v>
      </c>
      <c r="C64" t="s">
        <v>149</v>
      </c>
      <c r="D64" t="s">
        <v>150</v>
      </c>
      <c r="E64" s="10">
        <v>5.625</v>
      </c>
      <c r="F64" s="6"/>
      <c r="G64" s="6"/>
      <c r="H64" s="6"/>
      <c r="I64" s="6"/>
      <c r="J64" s="6"/>
      <c r="K64" s="10">
        <f>IF(AND(ISNUMBER(G64),ISNUMBER(I64)),G64-I64,"")</f>
        <v/>
      </c>
      <c r="L64" s="10">
        <f>IF(AND(ISNUMBER(H64),ISNUMBER(J64)),H64-J64,"")</f>
        <v/>
      </c>
    </row>
    <row r="65" spans="1:12">
      <c r="A65" t="s">
        <v>87</v>
      </c>
      <c r="B65" t="s">
        <v>153</v>
      </c>
      <c r="C65" t="s">
        <v>154</v>
      </c>
      <c r="E65" s="10">
        <v>5.625</v>
      </c>
      <c r="F65" s="6"/>
      <c r="G65" s="6"/>
      <c r="H65" s="6"/>
      <c r="I65" s="6"/>
      <c r="J65" s="6"/>
      <c r="K65" s="10">
        <f>IF(AND(ISNUMBER(G65),ISNUMBER(I65)),G65-I65,"")</f>
        <v/>
      </c>
      <c r="L65" s="10">
        <f>IF(AND(ISNUMBER(H65),ISNUMBER(J65)),H65-J65,"")</f>
        <v/>
      </c>
    </row>
    <row r="66" spans="1:12">
      <c r="A66" t="s">
        <v>88</v>
      </c>
      <c r="B66" t="s">
        <v>143</v>
      </c>
      <c r="C66" t="s">
        <v>144</v>
      </c>
      <c r="D66" t="s">
        <v>145</v>
      </c>
      <c r="E66" s="10">
        <v>18</v>
      </c>
      <c r="F66" s="6"/>
      <c r="G66" s="6"/>
      <c r="H66" s="6"/>
      <c r="I66" s="6"/>
      <c r="J66" s="6"/>
      <c r="K66" s="10">
        <f>IF(AND(ISNUMBER(G66),ISNUMBER(I66)),G66-I66,"")</f>
        <v/>
      </c>
      <c r="L66" s="10">
        <f>IF(AND(ISNUMBER(H66),ISNUMBER(J66)),H66-J66,"")</f>
        <v/>
      </c>
    </row>
    <row r="67" spans="1:12">
      <c r="A67" t="s">
        <v>88</v>
      </c>
      <c r="B67" t="s">
        <v>146</v>
      </c>
      <c r="C67" t="s">
        <v>147</v>
      </c>
      <c r="D67" t="s">
        <v>145</v>
      </c>
      <c r="E67" s="10">
        <v>15.75</v>
      </c>
      <c r="F67" s="6"/>
      <c r="G67" s="6"/>
      <c r="H67" s="6"/>
      <c r="I67" s="6"/>
      <c r="J67" s="6"/>
      <c r="K67" s="10">
        <f>IF(AND(ISNUMBER(G67),ISNUMBER(I67)),G67-I67,"")</f>
        <v/>
      </c>
      <c r="L67" s="10">
        <f>IF(AND(ISNUMBER(H67),ISNUMBER(J67)),H67-J67,"")</f>
        <v/>
      </c>
    </row>
    <row r="68" spans="1:12">
      <c r="A68" t="s">
        <v>88</v>
      </c>
      <c r="B68" t="s">
        <v>148</v>
      </c>
      <c r="C68" t="s">
        <v>149</v>
      </c>
      <c r="D68" t="s">
        <v>150</v>
      </c>
      <c r="E68" s="10">
        <v>5.625</v>
      </c>
      <c r="F68" s="6"/>
      <c r="G68" s="6"/>
      <c r="H68" s="6"/>
      <c r="I68" s="6"/>
      <c r="J68" s="6"/>
      <c r="K68" s="10">
        <f>IF(AND(ISNUMBER(G68),ISNUMBER(I68)),G68-I68,"")</f>
        <v/>
      </c>
      <c r="L68" s="10">
        <f>IF(AND(ISNUMBER(H68),ISNUMBER(J68)),H68-J68,"")</f>
        <v/>
      </c>
    </row>
    <row r="69" spans="1:12">
      <c r="A69" t="s">
        <v>88</v>
      </c>
      <c r="B69" t="s">
        <v>153</v>
      </c>
      <c r="C69" t="s">
        <v>154</v>
      </c>
      <c r="E69" s="10">
        <v>5.625</v>
      </c>
      <c r="F69" s="6"/>
      <c r="G69" s="6"/>
      <c r="H69" s="6"/>
      <c r="I69" s="6"/>
      <c r="J69" s="6"/>
      <c r="K69" s="10">
        <f>IF(AND(ISNUMBER(G69),ISNUMBER(I69)),G69-I69,"")</f>
        <v/>
      </c>
      <c r="L69" s="10">
        <f>IF(AND(ISNUMBER(H69),ISNUMBER(J69)),H69-J69,"")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38</v>
      </c>
      <c r="B1" s="2" t="s">
        <v>155</v>
      </c>
      <c r="C1" s="2" t="s">
        <v>156</v>
      </c>
      <c r="D1" s="2" t="s">
        <v>41</v>
      </c>
      <c r="E1" s="2" t="s">
        <v>157</v>
      </c>
      <c r="F1" s="2" t="s">
        <v>95</v>
      </c>
      <c r="G1" s="2" t="s">
        <v>158</v>
      </c>
      <c r="H1" s="2" t="s">
        <v>159</v>
      </c>
      <c r="I1" s="2" t="s">
        <v>160</v>
      </c>
      <c r="J1" s="2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7" width="16.7109375" customWidth="1"/>
  </cols>
  <sheetData>
    <row r="1" spans="1:7">
      <c r="A1" s="2" t="s">
        <v>38</v>
      </c>
      <c r="B1" s="2" t="s">
        <v>48</v>
      </c>
      <c r="C1" s="2" t="s">
        <v>50</v>
      </c>
      <c r="D1" s="2" t="s">
        <v>51</v>
      </c>
      <c r="E1" s="2" t="s">
        <v>160</v>
      </c>
      <c r="F1" s="2" t="s">
        <v>174</v>
      </c>
      <c r="G1" s="2" t="s">
        <v>175</v>
      </c>
    </row>
    <row r="2" spans="1:7">
      <c r="A2" t="str">
        <f>'Forecast'!A4</f>
        <v>2026.1</v>
      </c>
      <c r="B2">
        <f>IF(ISNUMBER('Forecast'!K4),'Forecast'!K4,NA())</f>
        <v>30.0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32.0</v>
      </c>
      <c r="F2">
        <f>IF(ISNUMBER('Forecast'!E4),'Forecast'!E4,NA())</f>
        <v>30.0</v>
      </c>
      <c r="G2">
        <f>IF(ISNUMBER('Forecast'!D4),'Forecast'!D4,NA())</f>
        <v>32.0</v>
      </c>
    </row>
    <row r="3" spans="1:7">
      <c r="A3" t="str">
        <f>'Forecast'!A5</f>
        <v>2026.2</v>
      </c>
      <c r="B3">
        <f>IF(ISNUMBER('Forecast'!K5),'Forecast'!K5,NA())</f>
        <v>30.909090909090907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35.0</v>
      </c>
      <c r="F3">
        <f>IF(ISNUMBER('Forecast'!E5),'Forecast'!E5,NA())</f>
        <v>34.0</v>
      </c>
      <c r="G3">
        <f>IF(ISNUMBER('Forecast'!D5),'Forecast'!D5,NA())</f>
        <v>35.0</v>
      </c>
    </row>
    <row r="4" spans="1:7">
      <c r="A4" t="str">
        <f>'Forecast'!A6</f>
        <v>2026.3</v>
      </c>
      <c r="B4">
        <f>IF(ISNUMBER('Forecast'!K6),'Forecast'!K6,NA())</f>
        <v>29.473684210526315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33.0</v>
      </c>
      <c r="F4">
        <f>IF(ISNUMBER('Forecast'!E6),'Forecast'!E6,NA())</f>
        <v>28.0</v>
      </c>
      <c r="G4">
        <f>IF(ISNUMBER('Forecast'!D6),'Forecast'!D6,NA())</f>
        <v>33.0</v>
      </c>
    </row>
    <row r="5" spans="1:7">
      <c r="A5" t="str">
        <f>'Forecast'!A7</f>
        <v>2026.4</v>
      </c>
      <c r="B5">
        <f>IF(ISNUMBER('Forecast'!K7),'Forecast'!K7,NA())</f>
        <v>34.285714285714285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36.0</v>
      </c>
      <c r="F5">
        <f>IF(ISNUMBER('Forecast'!E7),'Forecast'!E7,NA())</f>
        <v>36.0</v>
      </c>
      <c r="G5">
        <f>IF(ISNUMBER('Forecast'!D7),'Forecast'!D7,NA())</f>
        <v>36.0</v>
      </c>
    </row>
    <row r="6" spans="1:7">
      <c r="A6" t="str">
        <f>'Forecast'!A8</f>
        <v>2026.5</v>
      </c>
      <c r="B6">
        <f>IF(ISNUMBER('Forecast'!K8),'Forecast'!K8,NA())</f>
        <v>33.0</v>
      </c>
      <c r="C6">
        <f>IF(ISNUMBER('Forecast'!M8),'Forecast'!M8,NA())</f>
        <v>31.533697881066303</v>
      </c>
      <c r="D6" t="e">
        <f>IF(ISNUMBER('Forecast'!N8),'Forecast'!N8,NA())</f>
        <v>#N/A</v>
      </c>
      <c r="E6">
        <f>IF(ISNUMBER('Forecast'!U8),'Forecast'!U8,NA())</f>
        <v>34.0</v>
      </c>
      <c r="F6">
        <f>IF(ISNUMBER('Forecast'!E8),'Forecast'!E8,NA())</f>
        <v>33.0</v>
      </c>
      <c r="G6">
        <f>IF(ISNUMBER('Forecast'!D8),'Forecast'!D8,NA())</f>
        <v>34.0</v>
      </c>
    </row>
    <row r="7" spans="1:7">
      <c r="A7" t="str">
        <f>'Forecast'!A9</f>
        <v>2026.6</v>
      </c>
      <c r="B7">
        <f>IF(ISNUMBER('Forecast'!K9),'Forecast'!K9,NA())</f>
        <v>30.24390243902439</v>
      </c>
      <c r="C7">
        <f>IF(ISNUMBER('Forecast'!M9),'Forecast'!M9,NA())</f>
        <v>31.582478368871183</v>
      </c>
      <c r="D7" t="e">
        <f>IF(ISNUMBER('Forecast'!N9),'Forecast'!N9,NA())</f>
        <v>#N/A</v>
      </c>
      <c r="E7">
        <f>IF(ISNUMBER('Forecast'!U9),'Forecast'!U9,NA())</f>
        <v>32.0</v>
      </c>
      <c r="F7">
        <f>IF(ISNUMBER('Forecast'!E9),'Forecast'!E9,NA())</f>
        <v>31.0</v>
      </c>
      <c r="G7">
        <f>IF(ISNUMBER('Forecast'!D9),'Forecast'!D9,NA())</f>
        <v>32.0</v>
      </c>
    </row>
    <row r="8" spans="1:7">
      <c r="A8" t="str">
        <f>'Forecast'!A10</f>
        <v>2026.7</v>
      </c>
      <c r="B8" t="e">
        <f>IF(ISNUMBER('Forecast'!K10),'Forecast'!K10,NA())</f>
        <v>#N/A</v>
      </c>
      <c r="C8" t="e">
        <f>IF(ISNUMBER('Forecast'!M10),'Forecast'!M10,NA())</f>
        <v>#N/A</v>
      </c>
      <c r="D8">
        <f>IF(ISNUMBER('Forecast'!N10),'Forecast'!N10,NA())</f>
        <v>31.582478368871183</v>
      </c>
      <c r="E8">
        <f>IF(ISNUMBER('Forecast'!U10),'Forecast'!U10,NA())</f>
        <v>53.0</v>
      </c>
      <c r="F8" t="e">
        <f>IF(ISNUMBER('Forecast'!E10),'Forecast'!E10,NA())</f>
        <v>#N/A</v>
      </c>
      <c r="G8" t="e">
        <f>IF(ISNUMBER('Forecast'!D10),'Forecast'!D10,NA())</f>
        <v>#N/A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31.582478368871183</v>
      </c>
      <c r="E9">
        <f>IF(ISNUMBER('Forecast'!U11),'Forecast'!U11,NA())</f>
        <v>60.0</v>
      </c>
      <c r="F9" t="e">
        <f>IF(ISNUMBER('Forecast'!E11),'Forecast'!E11,NA())</f>
        <v>#N/A</v>
      </c>
      <c r="G9" t="e">
        <f>IF(ISNUMBER('Forecast'!D11),'Forecast'!D11,NA())</f>
        <v>#N/A</v>
      </c>
    </row>
    <row r="10" spans="1:7">
      <c r="A10" t="str">
        <f>'Forecast'!A12</f>
        <v>2026.9</v>
      </c>
      <c r="B10" t="e">
        <f>IF(ISNUMBER('Forecast'!K12),'Forecast'!K12,NA())</f>
        <v>#N/A</v>
      </c>
      <c r="C10" t="e">
        <f>IF(ISNUMBER('Forecast'!M12),'Forecast'!M12,NA())</f>
        <v>#N/A</v>
      </c>
      <c r="D10">
        <f>IF(ISNUMBER('Forecast'!N12),'Forecast'!N12,NA())</f>
        <v>31.582478368871183</v>
      </c>
      <c r="E10">
        <f>IF(ISNUMBER('Forecast'!U12),'Forecast'!U12,NA())</f>
        <v>55.7</v>
      </c>
      <c r="F10" t="e">
        <f>IF(ISNUMBER('Forecast'!E12),'Forecast'!E12,NA())</f>
        <v>#N/A</v>
      </c>
      <c r="G10" t="e">
        <f>IF(ISNUMBER('Forecast'!D12),'Forecast'!D12,NA())</f>
        <v>#N/A</v>
      </c>
    </row>
    <row r="11" spans="1:7">
      <c r="A11" t="str">
        <f>'Forecast'!A13</f>
        <v>2026.10</v>
      </c>
      <c r="B11" t="e">
        <f>IF(ISNUMBER('Forecast'!K13),'Forecast'!K13,NA())</f>
        <v>#N/A</v>
      </c>
      <c r="C11" t="e">
        <f>IF(ISNUMBER('Forecast'!M13),'Forecast'!M13,NA())</f>
        <v>#N/A</v>
      </c>
      <c r="D11">
        <f>IF(ISNUMBER('Forecast'!N13),'Forecast'!N13,NA())</f>
        <v>31.582478368871183</v>
      </c>
      <c r="E11">
        <f>IF(ISNUMBER('Forecast'!U13),'Forecast'!U13,NA())</f>
        <v>50.5</v>
      </c>
      <c r="F11" t="e">
        <f>IF(ISNUMBER('Forecast'!E13),'Forecast'!E13,NA())</f>
        <v>#N/A</v>
      </c>
      <c r="G11" t="e">
        <f>IF(ISNUMBER('Forecast'!D13),'Forecast'!D13,NA())</f>
        <v>#N/A</v>
      </c>
    </row>
    <row r="12" spans="1:7">
      <c r="A12" t="str">
        <f>'Forecast'!A14</f>
        <v>2026.11</v>
      </c>
      <c r="B12" t="e">
        <f>IF(ISNUMBER('Forecast'!K14),'Forecast'!K14,NA())</f>
        <v>#N/A</v>
      </c>
      <c r="C12" t="e">
        <f>IF(ISNUMBER('Forecast'!M14),'Forecast'!M14,NA())</f>
        <v>#N/A</v>
      </c>
      <c r="D12">
        <f>IF(ISNUMBER('Forecast'!N14),'Forecast'!N14,NA())</f>
        <v>31.582478368871183</v>
      </c>
      <c r="E12">
        <f>IF(ISNUMBER('Forecast'!U14),'Forecast'!U14,NA())</f>
        <v>56.8</v>
      </c>
      <c r="F12" t="e">
        <f>IF(ISNUMBER('Forecast'!E14),'Forecast'!E14,NA())</f>
        <v>#N/A</v>
      </c>
      <c r="G12" t="e">
        <f>IF(ISNUMBER('Forecast'!D14),'Forecast'!D14,NA())</f>
        <v>#N/A</v>
      </c>
    </row>
    <row r="13" spans="1:7">
      <c r="A13" t="str">
        <f>'Forecast'!A15</f>
        <v>2026.12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31.582478368871183</v>
      </c>
      <c r="E13">
        <f>IF(ISNUMBER('Forecast'!U15),'Forecast'!U15,NA())</f>
        <v>58.5</v>
      </c>
      <c r="F13" t="e">
        <f>IF(ISNUMBER('Forecast'!E15),'Forecast'!E15,NA())</f>
        <v>#N/A</v>
      </c>
      <c r="G13" t="e">
        <f>IF(ISNUMBER('Forecast'!D15),'Forecast'!D15,NA())</f>
        <v>#N/A</v>
      </c>
    </row>
    <row r="14" spans="1:7">
      <c r="A14" t="str">
        <f>'Forecast'!A16</f>
        <v>2026.13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31.582478368871183</v>
      </c>
      <c r="E14">
        <f>IF(ISNUMBER('Forecast'!U16),'Forecast'!U16,NA())</f>
        <v>59.2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2026.14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31.582478368871183</v>
      </c>
      <c r="E15">
        <f>IF(ISNUMBER('Forecast'!U17),'Forecast'!U17,NA())</f>
        <v>60.0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2026.15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31.582478368871183</v>
      </c>
      <c r="E16">
        <f>IF(ISNUMBER('Forecast'!U18),'Forecast'!U18,NA())</f>
        <v>60.0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2026.16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31.582478368871183</v>
      </c>
      <c r="E17">
        <f>IF(ISNUMBER('Forecast'!U19),'Forecast'!U19,NA())</f>
        <v>60.0</v>
      </c>
      <c r="F17" t="e">
        <f>IF(ISNUMBER('Forecast'!E19),'Forecast'!E19,NA())</f>
        <v>#N/A</v>
      </c>
      <c r="G17" t="e">
        <f>IF(ISNUMBER('Forecast'!D19),'Forecast'!D19,NA())</f>
        <v>#N/A</v>
      </c>
    </row>
  </sheetData>
  <conditionalFormatting sqref="B2:G17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products-edge</vt:lpwstr>
  </property>
</Properties>
</file>