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ings" sheetId="1" r:id="rId1"/>
    <sheet name="Forecast" sheetId="2" r:id="rId2"/>
    <sheet name="Sprint data" sheetId="3" r:id="rId3"/>
    <sheet name="Absences" sheetId="4" r:id="rId4"/>
    <sheet name="People" sheetId="5" r:id="rId5"/>
    <sheet name="Product list" sheetId="6" r:id="rId6"/>
    <sheet name="Product values" sheetId="7" r:id="rId7"/>
    <sheet name="Prognoses" sheetId="8" r:id="rId8"/>
    <sheet name="Trend" sheetId="9" r:id="rId9"/>
  </sheets>
  <definedNames>
    <definedName name="Duenn_Kapazitaet">'Settings'!$B$23</definedName>
    <definedName name="Duenn_nVelocity">'Settings'!$B$22</definedName>
    <definedName name="Fenster">'Settings'!$B$14</definedName>
    <definedName name="Referenz">'Settings'!$B$13</definedName>
    <definedName name="Roadmap_Anteil">'Settings'!$B$15</definedName>
    <definedName name="Rundung">'Settings'!$B$16</definedName>
  </definedNames>
  <calcPr calcId="124519" fullCalcOnLoad="1"/>
</workbook>
</file>

<file path=xl/sharedStrings.xml><?xml version="1.0" encoding="utf-8"?>
<sst xmlns="http://schemas.openxmlformats.org/spreadsheetml/2006/main" count="287" uniqueCount="135">
  <si>
    <t>Settings of Golden tickets-products</t>
  </si>
  <si>
    <t>Label</t>
  </si>
  <si>
    <t>Value</t>
  </si>
  <si>
    <t>Key (team.yaml)</t>
  </si>
  <si>
    <t>name</t>
  </si>
  <si>
    <t>Golden tickets-products</t>
  </si>
  <si>
    <t>unit</t>
  </si>
  <si>
    <t>PT</t>
  </si>
  <si>
    <t>features.products</t>
  </si>
  <si>
    <t>features.po</t>
  </si>
  <si>
    <t>features.production</t>
  </si>
  <si>
    <t>features.tickets</t>
  </si>
  <si>
    <t>sprint.length_days</t>
  </si>
  <si>
    <t>sprint.numbering</t>
  </si>
  <si>
    <t>yearly</t>
  </si>
  <si>
    <t>sprint.first.id</t>
  </si>
  <si>
    <t>2026.1</t>
  </si>
  <si>
    <t>sprint.first.start</t>
  </si>
  <si>
    <t>Reference capacity (PT)</t>
  </si>
  <si>
    <t>forecast.reference_capacity</t>
  </si>
  <si>
    <t>Window (sprints)</t>
  </si>
  <si>
    <t>forecast.window</t>
  </si>
  <si>
    <t>Plannable share</t>
  </si>
  <si>
    <t>forecast.roadmap_share</t>
  </si>
  <si>
    <t>Rounding (decimal places, rounded down)</t>
  </si>
  <si>
    <t>forecast.rounding</t>
  </si>
  <si>
    <t>Trend mode (fixed at export)</t>
  </si>
  <si>
    <t>flat</t>
  </si>
  <si>
    <t>forecast.trend_mode</t>
  </si>
  <si>
    <t>forecast.horizon</t>
  </si>
  <si>
    <t>capacity.overhead_share</t>
  </si>
  <si>
    <t>capacity.rounding</t>
  </si>
  <si>
    <t>Current status</t>
  </si>
  <si>
    <t>08.07.2026</t>
  </si>
  <si>
    <t>Yellow cells are inputs (settings and sprint values); all other cells are formulas. The trend mode is fixed in the formulas.</t>
  </si>
  <si>
    <t>Forecast Golden tickets-products</t>
  </si>
  <si>
    <t>Inputs are yellow; the columns to the right calculate like the web interface (calculation).</t>
  </si>
  <si>
    <t>Sprint</t>
  </si>
  <si>
    <t>Start</t>
  </si>
  <si>
    <t>End</t>
  </si>
  <si>
    <t>Commitment (PT)</t>
  </si>
  <si>
    <t>Velocity (PT)</t>
  </si>
  <si>
    <t>Scope creep</t>
  </si>
  <si>
    <t>Capacity (PD), recorded (input)</t>
  </si>
  <si>
    <t>Capacity (PD), calculated from people and calendar</t>
  </si>
  <si>
    <t>Source of the capacity</t>
  </si>
  <si>
    <t>Capacity (PD), recorded or calculated</t>
  </si>
  <si>
    <t>norm. velocity</t>
  </si>
  <si>
    <t>Count n. velocity</t>
  </si>
  <si>
    <t>Ø norm. velocity</t>
  </si>
  <si>
    <t>norm. velocity trend</t>
  </si>
  <si>
    <t>n. velocity known (avg or trend)</t>
  </si>
  <si>
    <t>Count capacity</t>
  </si>
  <si>
    <t>Avg capacity</t>
  </si>
  <si>
    <t>Capacity trend</t>
  </si>
  <si>
    <t>Capacity known (avg or trend)</t>
  </si>
  <si>
    <t>Capacity for the Forecast PLAN (PD)</t>
  </si>
  <si>
    <t>Forecast PLAN (PT)</t>
  </si>
  <si>
    <t>Plannable (PT)</t>
  </si>
  <si>
    <t>Small stuff (PT)</t>
  </si>
  <si>
    <t>Fulfillment</t>
  </si>
  <si>
    <t>Focus factor</t>
  </si>
  <si>
    <t>Share of production access in the capacity</t>
  </si>
  <si>
    <t>Capacity with production access (PD)</t>
  </si>
  <si>
    <t>Capacity without production access (PD)</t>
  </si>
  <si>
    <t>Forecast PLAN: up to with production access (PT)</t>
  </si>
  <si>
    <t>Forecast PLAN: for all others (PT)</t>
  </si>
  <si>
    <t>Σ planning per product (PT)</t>
  </si>
  <si>
    <t>Forecast PLAN − Σ planning (PT)</t>
  </si>
  <si>
    <t>Thin history n. velocity (fewer values than the window, at least 3)</t>
  </si>
  <si>
    <t>Thin history capacity</t>
  </si>
  <si>
    <t>recorded</t>
  </si>
  <si>
    <t>2026.2</t>
  </si>
  <si>
    <t>2026.3</t>
  </si>
  <si>
    <t>2026.4</t>
  </si>
  <si>
    <t>2026.5</t>
  </si>
  <si>
    <t>2026.6</t>
  </si>
  <si>
    <t>2026.7</t>
  </si>
  <si>
    <t>2026.8</t>
  </si>
  <si>
    <t>State of the absences (unknown, expected, confirmed)</t>
  </si>
  <si>
    <t>Forecast PLAN at planning, frozen (PT)</t>
  </si>
  <si>
    <t>Carry-over (PT)</t>
  </si>
  <si>
    <t>Backlog (PT)</t>
  </si>
  <si>
    <t>Corrections of remaining effort (separated by spaces)</t>
  </si>
  <si>
    <t>Of which not finished (PT)</t>
  </si>
  <si>
    <t>Additionally done (PT)</t>
  </si>
  <si>
    <t>Of which with production access, planning (PT)</t>
  </si>
  <si>
    <t>Of which with production access, done (PT)</t>
  </si>
  <si>
    <t>Note</t>
  </si>
  <si>
    <t>unknown</t>
  </si>
  <si>
    <t>Person (ID)</t>
  </si>
  <si>
    <t>Name</t>
  </si>
  <si>
    <t>days</t>
  </si>
  <si>
    <t>Kind (absences = confirmed, expected_absences = announced)</t>
  </si>
  <si>
    <t>ID</t>
  </si>
  <si>
    <t>Country</t>
  </si>
  <si>
    <t>Region</t>
  </si>
  <si>
    <t>Work week</t>
  </si>
  <si>
    <t>Production access</t>
  </si>
  <si>
    <t>Member from</t>
  </si>
  <si>
    <t>Member until</t>
  </si>
  <si>
    <t>FTE</t>
  </si>
  <si>
    <t>PO</t>
  </si>
  <si>
    <t>Handled from</t>
  </si>
  <si>
    <t>Handled until</t>
  </si>
  <si>
    <t>Fixed share (0–1)</t>
  </si>
  <si>
    <t>web</t>
  </si>
  <si>
    <t>Web</t>
  </si>
  <si>
    <t>Alex</t>
  </si>
  <si>
    <t>app</t>
  </si>
  <si>
    <t>App</t>
  </si>
  <si>
    <t>old</t>
  </si>
  <si>
    <t>Old</t>
  </si>
  <si>
    <t>Bea</t>
  </si>
  <si>
    <t>new</t>
  </si>
  <si>
    <t>New</t>
  </si>
  <si>
    <t>Time</t>
  </si>
  <si>
    <t>Comment</t>
  </si>
  <si>
    <t>Expected not finished (PT)</t>
  </si>
  <si>
    <t>Expected done</t>
  </si>
  <si>
    <t>Target sprint</t>
  </si>
  <si>
    <t>Forecast PLAN</t>
  </si>
  <si>
    <t>Pre-planning per product (ID=value; …)</t>
  </si>
  <si>
    <t>Product (ID)</t>
  </si>
  <si>
    <t>Product</t>
  </si>
  <si>
    <t>Standard (PT)</t>
  </si>
  <si>
    <t>PO pre-planning (PT)</t>
  </si>
  <si>
    <t>Planning (PT)</t>
  </si>
  <si>
    <t>Done (PT)</t>
  </si>
  <si>
    <t>of which production access (planning) (PT)</t>
  </si>
  <si>
    <t>of which production access (done) (PT)</t>
  </si>
  <si>
    <t>Planning without production access (PT)</t>
  </si>
  <si>
    <t>Done without production access (PT)</t>
  </si>
  <si>
    <t>Velocity</t>
  </si>
  <si>
    <t>Commitment</t>
  </si>
</sst>
</file>

<file path=xl/styles.xml><?xml version="1.0" encoding="utf-8"?>
<styleSheet xmlns="http://schemas.openxmlformats.org/spreadsheetml/2006/main">
  <numFmts count="4">
    <numFmt numFmtId="164" formatCode="dd.mm.yyyy"/>
    <numFmt numFmtId="165" formatCode="0.00"/>
    <numFmt numFmtId="166" formatCode="0.0%"/>
    <numFmt numFmtId="167" formatCode="0.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BBBB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3" borderId="0" xfId="0" applyFill="1"/>
    <xf numFmtId="0" fontId="3" fillId="0" borderId="0" xfId="0" applyFont="1"/>
    <xf numFmtId="164" fontId="0" fillId="0" borderId="0" xfId="0" applyNumberFormat="1"/>
    <xf numFmtId="165" fontId="0" fillId="3" borderId="0" xfId="0" applyNumberFormat="1" applyFill="1"/>
    <xf numFmtId="166" fontId="0" fillId="3" borderId="0" xfId="0" applyNumberFormat="1" applyFill="1"/>
    <xf numFmtId="167" fontId="0" fillId="3" borderId="0" xfId="0" applyNumberFormat="1" applyFill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3" borderId="0" xfId="0" applyNumberFormat="1" applyFill="1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'Trend'!$B$1</c:f>
              <c:strCache>
                <c:ptCount val="1"/>
                <c:pt idx="0">
                  <c:v>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'Trend'!$A$2:$A$9</c:f>
              <c:numCache>
                <c:formatCode>General</c:formatCode>
                <c:ptCount val="8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</c:numCache>
            </c:numRef>
          </c:cat>
          <c:val>
            <c:numRef>
              <c:f>'Trend'!$B$2:$B$9</c:f>
              <c:numCache>
                <c:formatCode>General</c:formatCode>
                <c:ptCount val="8"/>
                <c:pt idx="0">
                  <c:v>31.0</c:v>
                </c:pt>
                <c:pt idx="1">
                  <c:v>30.526315789473685</c:v>
                </c:pt>
                <c:pt idx="2">
                  <c:v>35.0</c:v>
                </c:pt>
                <c:pt idx="3">
                  <c:v>31.428571428571427</c:v>
                </c:pt>
                <c:pt idx="4">
                  <c:v>30.0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'Trend'!$C$1</c:f>
              <c:strCache>
                <c:ptCount val="1"/>
                <c:pt idx="0">
                  <c:v>Ø 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'Trend'!$A$2:$A$9</c:f>
              <c:numCache>
                <c:formatCode>General</c:formatCode>
                <c:ptCount val="8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</c:numCache>
            </c:numRef>
          </c:cat>
          <c:val>
            <c:numRef>
              <c:f>'Trend'!$C$2:$C$9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31.590977443609024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'Trend'!$D$1</c:f>
              <c:strCache>
                <c:ptCount val="1"/>
                <c:pt idx="0">
                  <c:v>norm. velocity trend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'Trend'!$A$2:$A$9</c:f>
              <c:numCache>
                <c:formatCode>General</c:formatCode>
                <c:ptCount val="8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</c:numCache>
            </c:numRef>
          </c:cat>
          <c:val>
            <c:numRef>
              <c:f>'Trend'!$D$2:$D$9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31.590977443609024</c:v>
                </c:pt>
                <c:pt idx="6">
                  <c:v>31.590977443609024</c:v>
                </c:pt>
                <c:pt idx="7">
                  <c:v>31.590977443609024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'Trend'!$E$1</c:f>
              <c:strCache>
                <c:ptCount val="1"/>
                <c:pt idx="0">
                  <c:v>Forecast PLAN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'Trend'!$A$2:$A$9</c:f>
              <c:numCache>
                <c:formatCode>General</c:formatCode>
                <c:ptCount val="8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</c:numCache>
            </c:numRef>
          </c:cat>
          <c:val>
            <c:numRef>
              <c:f>'Trend'!$E$2:$E$9</c:f>
              <c:numCache>
                <c:formatCode>General</c:formatCode>
                <c:ptCount val="8"/>
                <c:pt idx="0">
                  <c:v>32.0</c:v>
                </c:pt>
                <c:pt idx="1">
                  <c:v>30.0</c:v>
                </c:pt>
                <c:pt idx="2">
                  <c:v>34.0</c:v>
                </c:pt>
                <c:pt idx="3">
                  <c:v>34.0</c:v>
                </c:pt>
                <c:pt idx="4">
                  <c:v>31.0</c:v>
                </c:pt>
                <c:pt idx="5">
                  <c:v>31.5</c:v>
                </c:pt>
                <c:pt idx="6">
                  <c:v>31.5</c:v>
                </c:pt>
                <c:pt idx="7">
                  <c:v>31.5</c:v>
                </c:pt>
              </c:numCache>
            </c:numRef>
          </c:val>
        </c:ser>
        <c:ser>
          <c:idx val="1"/>
          <c:order val="1"/>
          <c:tx>
            <c:strRef>
              <c:f>'Trend'!$F$1</c:f>
              <c:strCache>
                <c:ptCount val="1"/>
                <c:pt idx="0">
                  <c:v>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'Trend'!$A$2:$A$9</c:f>
              <c:numCache>
                <c:formatCode>General</c:formatCode>
                <c:ptCount val="8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</c:numCache>
            </c:numRef>
          </c:cat>
          <c:val>
            <c:numRef>
              <c:f>'Trend'!$F$2:$F$9</c:f>
              <c:numCache>
                <c:formatCode>General</c:formatCode>
                <c:ptCount val="8"/>
                <c:pt idx="0">
                  <c:v>31.0</c:v>
                </c:pt>
                <c:pt idx="1">
                  <c:v>29.0</c:v>
                </c:pt>
                <c:pt idx="2">
                  <c:v>35.0</c:v>
                </c:pt>
                <c:pt idx="3">
                  <c:v>33.0</c:v>
                </c:pt>
                <c:pt idx="4">
                  <c:v>30.0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'Trend'!$G$1</c:f>
              <c:strCache>
                <c:ptCount val="1"/>
                <c:pt idx="0">
                  <c:v>Commitment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'Trend'!$A$2:$A$9</c:f>
              <c:numCache>
                <c:formatCode>General</c:formatCode>
                <c:ptCount val="8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</c:numCache>
            </c:numRef>
          </c:cat>
          <c:val>
            <c:numRef>
              <c:f>'Trend'!$G$2:$G$9</c:f>
              <c:numCache>
                <c:formatCode>General</c:formatCode>
                <c:ptCount val="8"/>
                <c:pt idx="0">
                  <c:v>32.0</c:v>
                </c:pt>
                <c:pt idx="1">
                  <c:v>30.0</c:v>
                </c:pt>
                <c:pt idx="2">
                  <c:v>34.0</c:v>
                </c:pt>
                <c:pt idx="3">
                  <c:v>34.0</c:v>
                </c:pt>
                <c:pt idx="4">
                  <c:v>31.0</c:v>
                </c:pt>
                <c:pt idx="5">
                  <c:v>32.0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19</xdr:col>
      <xdr:colOff>533400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19</xdr:col>
      <xdr:colOff>533400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48.7109375" customWidth="1"/>
    <col min="2" max="2" width="16.7109375" customWidth="1"/>
    <col min="3" max="3" width="30.7109375" customWidth="1"/>
  </cols>
  <sheetData>
    <row r="1" spans="1:3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>
      <c r="A3" t="s">
        <v>4</v>
      </c>
      <c r="B3" s="3" t="s">
        <v>5</v>
      </c>
      <c r="C3" s="4" t="s">
        <v>4</v>
      </c>
    </row>
    <row r="4" spans="1:3">
      <c r="A4" t="s">
        <v>6</v>
      </c>
      <c r="B4" s="3" t="s">
        <v>7</v>
      </c>
      <c r="C4" s="4" t="s">
        <v>6</v>
      </c>
    </row>
    <row r="5" spans="1:3">
      <c r="A5" t="s">
        <v>8</v>
      </c>
      <c r="B5" s="3" t="b">
        <v>1</v>
      </c>
      <c r="C5" s="4" t="s">
        <v>8</v>
      </c>
    </row>
    <row r="6" spans="1:3">
      <c r="A6" t="s">
        <v>9</v>
      </c>
      <c r="B6" s="3" t="b">
        <v>1</v>
      </c>
      <c r="C6" s="4" t="s">
        <v>9</v>
      </c>
    </row>
    <row r="7" spans="1:3">
      <c r="A7" t="s">
        <v>10</v>
      </c>
      <c r="B7" s="3" t="b">
        <v>1</v>
      </c>
      <c r="C7" s="4" t="s">
        <v>10</v>
      </c>
    </row>
    <row r="8" spans="1:3">
      <c r="A8" t="s">
        <v>11</v>
      </c>
      <c r="B8" s="3" t="b">
        <v>1</v>
      </c>
      <c r="C8" s="4" t="s">
        <v>11</v>
      </c>
    </row>
    <row r="9" spans="1:3">
      <c r="A9" t="s">
        <v>12</v>
      </c>
      <c r="B9" s="3">
        <v>14</v>
      </c>
      <c r="C9" s="4" t="s">
        <v>12</v>
      </c>
    </row>
    <row r="10" spans="1:3">
      <c r="A10" t="s">
        <v>13</v>
      </c>
      <c r="B10" s="3" t="s">
        <v>14</v>
      </c>
      <c r="C10" s="4" t="s">
        <v>13</v>
      </c>
    </row>
    <row r="11" spans="1:3">
      <c r="A11" t="s">
        <v>15</v>
      </c>
      <c r="B11" s="3" t="s">
        <v>16</v>
      </c>
      <c r="C11" s="4" t="s">
        <v>15</v>
      </c>
    </row>
    <row r="12" spans="1:3">
      <c r="A12" t="s">
        <v>17</v>
      </c>
      <c r="B12" s="5">
        <v>46148</v>
      </c>
      <c r="C12" s="4" t="s">
        <v>17</v>
      </c>
    </row>
    <row r="13" spans="1:3">
      <c r="A13" t="s">
        <v>18</v>
      </c>
      <c r="B13" s="3">
        <v>40</v>
      </c>
      <c r="C13" s="4" t="s">
        <v>19</v>
      </c>
    </row>
    <row r="14" spans="1:3">
      <c r="A14" t="s">
        <v>20</v>
      </c>
      <c r="B14" s="3">
        <v>5</v>
      </c>
      <c r="C14" s="4" t="s">
        <v>21</v>
      </c>
    </row>
    <row r="15" spans="1:3">
      <c r="A15" t="s">
        <v>22</v>
      </c>
      <c r="B15" s="3">
        <v>0.8</v>
      </c>
      <c r="C15" s="4" t="s">
        <v>23</v>
      </c>
    </row>
    <row r="16" spans="1:3">
      <c r="A16" t="s">
        <v>24</v>
      </c>
      <c r="B16" s="3">
        <v>1</v>
      </c>
      <c r="C16" s="4" t="s">
        <v>25</v>
      </c>
    </row>
    <row r="17" spans="1:3">
      <c r="A17" t="s">
        <v>26</v>
      </c>
      <c r="B17" s="3" t="s">
        <v>27</v>
      </c>
      <c r="C17" s="4" t="s">
        <v>28</v>
      </c>
    </row>
    <row r="18" spans="1:3">
      <c r="A18" t="s">
        <v>29</v>
      </c>
      <c r="B18" s="3">
        <v>3</v>
      </c>
      <c r="C18" s="4" t="s">
        <v>29</v>
      </c>
    </row>
    <row r="19" spans="1:3">
      <c r="A19" t="s">
        <v>30</v>
      </c>
      <c r="B19" s="3">
        <v>0</v>
      </c>
      <c r="C19" s="4" t="s">
        <v>30</v>
      </c>
    </row>
    <row r="20" spans="1:3">
      <c r="A20" t="s">
        <v>31</v>
      </c>
      <c r="B20" s="3">
        <v>1</v>
      </c>
      <c r="C20" s="4" t="s">
        <v>31</v>
      </c>
    </row>
    <row r="22" spans="1:3">
      <c r="A22" t="s">
        <v>69</v>
      </c>
      <c r="B22" t="b">
        <f>AND(COUNT('Forecast'!$K$4:$K$11)&gt;=3,COUNT('Forecast'!$K$4:$K$11)&lt;Fenster)</f>
        <v>0</v>
      </c>
    </row>
    <row r="23" spans="1:3">
      <c r="A23" t="s">
        <v>70</v>
      </c>
      <c r="B23" t="b">
        <f>AND(COUNT('Forecast'!$J$4:$J$11)&gt;=3,COUNT('Forecast'!$J$4:$J$11)&lt;Fenster)</f>
        <v>0</v>
      </c>
    </row>
    <row r="25" spans="1:3">
      <c r="A25" t="s">
        <v>32</v>
      </c>
      <c r="B25" t="s">
        <v>33</v>
      </c>
    </row>
    <row r="27" spans="1:3">
      <c r="A2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0.7109375" customWidth="1"/>
    <col min="2" max="3" width="11.7109375" customWidth="1"/>
    <col min="4" max="33" width="14.7109375" customWidth="1"/>
  </cols>
  <sheetData>
    <row r="1" spans="1:32">
      <c r="A1" s="1" t="s">
        <v>35</v>
      </c>
    </row>
    <row r="2" spans="1:32">
      <c r="A2" t="s">
        <v>36</v>
      </c>
    </row>
    <row r="3" spans="1:32" ht="60" customHeight="1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46</v>
      </c>
      <c r="K3" s="2" t="s">
        <v>47</v>
      </c>
      <c r="L3" s="2" t="s">
        <v>48</v>
      </c>
      <c r="M3" s="2" t="s">
        <v>49</v>
      </c>
      <c r="N3" s="2" t="s">
        <v>50</v>
      </c>
      <c r="O3" s="2" t="s">
        <v>51</v>
      </c>
      <c r="P3" s="2" t="s">
        <v>52</v>
      </c>
      <c r="Q3" s="2" t="s">
        <v>53</v>
      </c>
      <c r="R3" s="2" t="s">
        <v>54</v>
      </c>
      <c r="S3" s="2" t="s">
        <v>55</v>
      </c>
      <c r="T3" s="2" t="s">
        <v>56</v>
      </c>
      <c r="U3" s="2" t="s">
        <v>57</v>
      </c>
      <c r="V3" s="2" t="s">
        <v>58</v>
      </c>
      <c r="W3" s="2" t="s">
        <v>59</v>
      </c>
      <c r="X3" s="2" t="s">
        <v>60</v>
      </c>
      <c r="Y3" s="2" t="s">
        <v>61</v>
      </c>
      <c r="Z3" s="2" t="s">
        <v>62</v>
      </c>
      <c r="AA3" s="2" t="s">
        <v>63</v>
      </c>
      <c r="AB3" s="2" t="s">
        <v>64</v>
      </c>
      <c r="AC3" s="2" t="s">
        <v>65</v>
      </c>
      <c r="AD3" s="2" t="s">
        <v>66</v>
      </c>
      <c r="AE3" s="2" t="s">
        <v>67</v>
      </c>
      <c r="AF3" s="2" t="s">
        <v>68</v>
      </c>
    </row>
    <row r="4" spans="1:32">
      <c r="A4" t="s">
        <v>16</v>
      </c>
      <c r="B4" s="5">
        <v>46148</v>
      </c>
      <c r="C4" s="5">
        <v>46162</v>
      </c>
      <c r="D4" s="6">
        <v>32</v>
      </c>
      <c r="E4" s="6">
        <v>31</v>
      </c>
      <c r="F4" s="7"/>
      <c r="G4" s="8">
        <v>40</v>
      </c>
      <c r="I4" t="s">
        <v>71</v>
      </c>
      <c r="J4" s="9">
        <f>IF(ISNUMBER(G4),G4,IF(ISNUMBER(H4),H4,""))</f>
        <v>40.0</v>
      </c>
      <c r="K4" s="10">
        <f>IF(AND(ISNUMBER(E4),ISNUMBER(J4),J4&gt;0),E4/J4*Referenz,"")</f>
        <v>31.0</v>
      </c>
      <c r="L4">
        <f>COUNT(K$4:K4)</f>
        <v>1</v>
      </c>
      <c r="M4" s="10">
        <f>IF(NOT(ISNUMBER(K4)),"",IF(L4&gt;=Fenster,AVERAGEIFS(K$4:K4,L$4:L4,"&gt;"&amp;(L4-Fenster)),IF(AND(Duenn_nVelocity,L4&gt;=3),AVERAGE(K$4:K4),"")))</f>
        <v/>
      </c>
      <c r="N4" s="10">
        <f>IF(ISNUMBER(M4),"",IF(Duenn_nVelocity,"",""))</f>
        <v/>
      </c>
      <c r="O4" s="10">
        <f>IF(ISNUMBER(M4),M4,IF(ISNUMBER(N4),N4,""))</f>
        <v/>
      </c>
      <c r="P4">
        <f>COUNT(J$4:J4)</f>
        <v>1</v>
      </c>
      <c r="Q4" s="10">
        <f>IF(NOT(ISNUMBER(J4)),"",IF(P4&gt;=Fenster,AVERAGEIFS(J$4:J4,P$4:P4,"&gt;"&amp;(P4-Fenster)),IF(AND(Duenn_Kapazitaet,P4&gt;=3),AVERAGE(J$4:J4),"")))</f>
        <v/>
      </c>
      <c r="R4" s="10">
        <f>IF(ISNUMBER(Q4),"",IF(Duenn_Kapazitaet,"",""))</f>
        <v/>
      </c>
      <c r="S4" s="10">
        <f>IF(ISNUMBER(Q4),Q4,IF(ISNUMBER(R4),R4,""))</f>
        <v/>
      </c>
      <c r="T4" s="9">
        <f>IF(ISNUMBER(J4),J4,R4)</f>
        <v>40.0</v>
      </c>
      <c r="U4" s="10">
        <f>IF(AND(ISNUMBER(N4),ISNUMBER(T4)),MAX(0,ROUNDDOWN(N4/Referenz*T4,Rundung)),IF(ISNUMBER(D4),ROUNDDOWN(D4,Rundung),""))</f>
        <v>32.0</v>
      </c>
      <c r="V4" s="10">
        <f>IF(ISNUMBER(U4),U4*Roadmap_Anteil,"")</f>
        <v>25.6</v>
      </c>
      <c r="W4" s="10">
        <f>IF(ISNUMBER(U4),U4-V4,"")</f>
        <v>6.399999999999999</v>
      </c>
      <c r="X4" s="11">
        <f>IF(AND(ISNUMBER(E4),ISNUMBER(D4),D4&lt;&gt;0),E4/D4,"")</f>
        <v>0.96875</v>
      </c>
      <c r="Y4" s="11">
        <f>IF(AND(ISNUMBER(E4),ISNUMBER(J4),J4&gt;0),E4/J4,"")</f>
        <v>0.775</v>
      </c>
      <c r="AE4" s="10">
        <f>IF(COUNTIFS('Product values'!$A$2:$A$27,A4,'Product values'!$G$2:$G$27,"&lt;&gt;")=0,"",SUMIFS('Product values'!$G$2:$G$27,'Product values'!$A$2:$A$27,A4))</f>
        <v/>
      </c>
      <c r="AF4" s="10">
        <f>IF(AND(ISNUMBER(U4),ISNUMBER(AE4)),U4-AE4,"")</f>
        <v/>
      </c>
    </row>
    <row r="5" spans="1:32">
      <c r="A5" t="s">
        <v>72</v>
      </c>
      <c r="B5" s="5">
        <v>46162</v>
      </c>
      <c r="C5" s="5">
        <v>46176</v>
      </c>
      <c r="D5" s="6">
        <v>30</v>
      </c>
      <c r="E5" s="6">
        <v>29</v>
      </c>
      <c r="F5" s="7"/>
      <c r="G5" s="8">
        <v>38</v>
      </c>
      <c r="I5" t="s">
        <v>71</v>
      </c>
      <c r="J5" s="9">
        <f>IF(ISNUMBER(G5),G5,IF(ISNUMBER(H5),H5,""))</f>
        <v>38.0</v>
      </c>
      <c r="K5" s="10">
        <f>IF(AND(ISNUMBER(E5),ISNUMBER(J5),J5&gt;0),E5/J5*Referenz,"")</f>
        <v>30.526315789473685</v>
      </c>
      <c r="L5">
        <f>COUNT(K$4:K5)</f>
        <v>2</v>
      </c>
      <c r="M5" s="10">
        <f>IF(NOT(ISNUMBER(K5)),"",IF(L5&gt;=Fenster,AVERAGEIFS(K$4:K5,L$4:L5,"&gt;"&amp;(L5-Fenster)),IF(AND(Duenn_nVelocity,L5&gt;=3),AVERAGE(K$4:K5),"")))</f>
        <v/>
      </c>
      <c r="N5" s="10">
        <f>IF(ISNUMBER(M5),"",IF(Duenn_nVelocity,IF(ISNUMBER(O4),O4,""),IF(ISNUMBER(O4),O4,"")))</f>
        <v/>
      </c>
      <c r="O5" s="10">
        <f>IF(ISNUMBER(M5),M5,IF(ISNUMBER(N5),N5,""))</f>
        <v/>
      </c>
      <c r="P5">
        <f>COUNT(J$4:J5)</f>
        <v>2</v>
      </c>
      <c r="Q5" s="10">
        <f>IF(NOT(ISNUMBER(J5)),"",IF(P5&gt;=Fenster,AVERAGEIFS(J$4:J5,P$4:P5,"&gt;"&amp;(P5-Fenster)),IF(AND(Duenn_Kapazitaet,P5&gt;=3),AVERAGE(J$4:J5),"")))</f>
        <v/>
      </c>
      <c r="R5" s="10">
        <f>IF(ISNUMBER(Q5),"",IF(Duenn_Kapazitaet,IF(ISNUMBER(S4),S4,""),IF(ISNUMBER(S4),S4,"")))</f>
        <v/>
      </c>
      <c r="S5" s="10">
        <f>IF(ISNUMBER(Q5),Q5,IF(ISNUMBER(R5),R5,""))</f>
        <v/>
      </c>
      <c r="T5" s="9">
        <f>IF(ISNUMBER(J5),J5,R5)</f>
        <v>38.0</v>
      </c>
      <c r="U5" s="10">
        <f>IF(AND(ISNUMBER(N5),ISNUMBER(T5)),MAX(0,ROUNDDOWN(N5/Referenz*T5,Rundung)),IF(ISNUMBER(D5),ROUNDDOWN(D5,Rundung),""))</f>
        <v>30.0</v>
      </c>
      <c r="V5" s="10">
        <f>IF(ISNUMBER(U5),U5*Roadmap_Anteil,"")</f>
        <v>24.0</v>
      </c>
      <c r="W5" s="10">
        <f>IF(ISNUMBER(U5),U5-V5,"")</f>
        <v>6.0</v>
      </c>
      <c r="X5" s="11">
        <f>IF(AND(ISNUMBER(E5),ISNUMBER(D5),D5&lt;&gt;0),E5/D5,"")</f>
        <v>0.9666666666666667</v>
      </c>
      <c r="Y5" s="11">
        <f>IF(AND(ISNUMBER(E5),ISNUMBER(J5),J5&gt;0),E5/J5,"")</f>
        <v>0.7631578947368421</v>
      </c>
      <c r="AE5" s="10">
        <f>IF(COUNTIFS('Product values'!$A$2:$A$27,A5,'Product values'!$G$2:$G$27,"&lt;&gt;")=0,"",SUMIFS('Product values'!$G$2:$G$27,'Product values'!$A$2:$A$27,A5))</f>
        <v/>
      </c>
      <c r="AF5" s="10">
        <f>IF(AND(ISNUMBER(U5),ISNUMBER(AE5)),U5-AE5,"")</f>
        <v/>
      </c>
    </row>
    <row r="6" spans="1:32">
      <c r="A6" t="s">
        <v>73</v>
      </c>
      <c r="B6" s="5">
        <v>46176</v>
      </c>
      <c r="C6" s="5">
        <v>46190</v>
      </c>
      <c r="D6" s="6">
        <v>34</v>
      </c>
      <c r="E6" s="6">
        <v>35</v>
      </c>
      <c r="F6" s="7"/>
      <c r="G6" s="8">
        <v>40</v>
      </c>
      <c r="I6" t="s">
        <v>71</v>
      </c>
      <c r="J6" s="9">
        <f>IF(ISNUMBER(G6),G6,IF(ISNUMBER(H6),H6,""))</f>
        <v>40.0</v>
      </c>
      <c r="K6" s="10">
        <f>IF(AND(ISNUMBER(E6),ISNUMBER(J6),J6&gt;0),E6/J6*Referenz,"")</f>
        <v>35.0</v>
      </c>
      <c r="L6">
        <f>COUNT(K$4:K6)</f>
        <v>3</v>
      </c>
      <c r="M6" s="10">
        <f>IF(NOT(ISNUMBER(K6)),"",IF(L6&gt;=Fenster,AVERAGEIFS(K$4:K6,L$4:L6,"&gt;"&amp;(L6-Fenster)),IF(AND(Duenn_nVelocity,L6&gt;=3),AVERAGE(K$4:K6),"")))</f>
        <v/>
      </c>
      <c r="N6" s="10">
        <f>IF(ISNUMBER(M6),"",IF(Duenn_nVelocity,IF(ISNUMBER(O5),O5,""),IF(ISNUMBER(O5),O5,"")))</f>
        <v/>
      </c>
      <c r="O6" s="10">
        <f>IF(ISNUMBER(M6),M6,IF(ISNUMBER(N6),N6,""))</f>
        <v/>
      </c>
      <c r="P6">
        <f>COUNT(J$4:J6)</f>
        <v>3</v>
      </c>
      <c r="Q6" s="10">
        <f>IF(NOT(ISNUMBER(J6)),"",IF(P6&gt;=Fenster,AVERAGEIFS(J$4:J6,P$4:P6,"&gt;"&amp;(P6-Fenster)),IF(AND(Duenn_Kapazitaet,P6&gt;=3),AVERAGE(J$4:J6),"")))</f>
        <v/>
      </c>
      <c r="R6" s="10">
        <f>IF(ISNUMBER(Q6),"",IF(Duenn_Kapazitaet,IF(ISNUMBER(S5),S5,""),IF(ISNUMBER(S5),S5,"")))</f>
        <v/>
      </c>
      <c r="S6" s="10">
        <f>IF(ISNUMBER(Q6),Q6,IF(ISNUMBER(R6),R6,""))</f>
        <v/>
      </c>
      <c r="T6" s="9">
        <f>IF(ISNUMBER(J6),J6,R6)</f>
        <v>40.0</v>
      </c>
      <c r="U6" s="10">
        <f>IF(AND(ISNUMBER(N6),ISNUMBER(T6)),MAX(0,ROUNDDOWN(N6/Referenz*T6,Rundung)),IF(ISNUMBER(D6),ROUNDDOWN(D6,Rundung),""))</f>
        <v>34.0</v>
      </c>
      <c r="V6" s="10">
        <f>IF(ISNUMBER(U6),U6*Roadmap_Anteil,"")</f>
        <v>27.200000000000003</v>
      </c>
      <c r="W6" s="10">
        <f>IF(ISNUMBER(U6),U6-V6,"")</f>
        <v>6.799999999999997</v>
      </c>
      <c r="X6" s="11">
        <f>IF(AND(ISNUMBER(E6),ISNUMBER(D6),D6&lt;&gt;0),E6/D6,"")</f>
        <v>1.0294117647058822</v>
      </c>
      <c r="Y6" s="11">
        <f>IF(AND(ISNUMBER(E6),ISNUMBER(J6),J6&gt;0),E6/J6,"")</f>
        <v>0.875</v>
      </c>
      <c r="AE6" s="10">
        <f>IF(COUNTIFS('Product values'!$A$2:$A$27,A6,'Product values'!$G$2:$G$27,"&lt;&gt;")=0,"",SUMIFS('Product values'!$G$2:$G$27,'Product values'!$A$2:$A$27,A6))</f>
        <v/>
      </c>
      <c r="AF6" s="10">
        <f>IF(AND(ISNUMBER(U6),ISNUMBER(AE6)),U6-AE6,"")</f>
        <v/>
      </c>
    </row>
    <row r="7" spans="1:32">
      <c r="A7" t="s">
        <v>74</v>
      </c>
      <c r="B7" s="5">
        <v>46190</v>
      </c>
      <c r="C7" s="5">
        <v>46204</v>
      </c>
      <c r="D7" s="6">
        <v>34</v>
      </c>
      <c r="E7" s="6">
        <v>33</v>
      </c>
      <c r="F7" s="7"/>
      <c r="G7" s="8">
        <v>42</v>
      </c>
      <c r="I7" t="s">
        <v>71</v>
      </c>
      <c r="J7" s="9">
        <f>IF(ISNUMBER(G7),G7,IF(ISNUMBER(H7),H7,""))</f>
        <v>42.0</v>
      </c>
      <c r="K7" s="10">
        <f>IF(AND(ISNUMBER(E7),ISNUMBER(J7),J7&gt;0),E7/J7*Referenz,"")</f>
        <v>31.428571428571427</v>
      </c>
      <c r="L7">
        <f>COUNT(K$4:K7)</f>
        <v>4</v>
      </c>
      <c r="M7" s="10">
        <f>IF(NOT(ISNUMBER(K7)),"",IF(L7&gt;=Fenster,AVERAGEIFS(K$4:K7,L$4:L7,"&gt;"&amp;(L7-Fenster)),IF(AND(Duenn_nVelocity,L7&gt;=3),AVERAGE(K$4:K7),"")))</f>
        <v/>
      </c>
      <c r="N7" s="10">
        <f>IF(ISNUMBER(M7),"",IF(Duenn_nVelocity,IF(ISNUMBER(O6),O6,""),IF(ISNUMBER(O6),O6,"")))</f>
        <v/>
      </c>
      <c r="O7" s="10">
        <f>IF(ISNUMBER(M7),M7,IF(ISNUMBER(N7),N7,""))</f>
        <v/>
      </c>
      <c r="P7">
        <f>COUNT(J$4:J7)</f>
        <v>4</v>
      </c>
      <c r="Q7" s="10">
        <f>IF(NOT(ISNUMBER(J7)),"",IF(P7&gt;=Fenster,AVERAGEIFS(J$4:J7,P$4:P7,"&gt;"&amp;(P7-Fenster)),IF(AND(Duenn_Kapazitaet,P7&gt;=3),AVERAGE(J$4:J7),"")))</f>
        <v/>
      </c>
      <c r="R7" s="10">
        <f>IF(ISNUMBER(Q7),"",IF(Duenn_Kapazitaet,IF(ISNUMBER(S6),S6,""),IF(ISNUMBER(S6),S6,"")))</f>
        <v/>
      </c>
      <c r="S7" s="10">
        <f>IF(ISNUMBER(Q7),Q7,IF(ISNUMBER(R7),R7,""))</f>
        <v/>
      </c>
      <c r="T7" s="9">
        <f>IF(ISNUMBER(J7),J7,R7)</f>
        <v>42.0</v>
      </c>
      <c r="U7" s="10">
        <f>IF(AND(ISNUMBER(N7),ISNUMBER(T7)),MAX(0,ROUNDDOWN(N7/Referenz*T7,Rundung)),IF(ISNUMBER(D7),ROUNDDOWN(D7,Rundung),""))</f>
        <v>34.0</v>
      </c>
      <c r="V7" s="10">
        <f>IF(ISNUMBER(U7),U7*Roadmap_Anteil,"")</f>
        <v>27.200000000000003</v>
      </c>
      <c r="W7" s="10">
        <f>IF(ISNUMBER(U7),U7-V7,"")</f>
        <v>6.799999999999997</v>
      </c>
      <c r="X7" s="11">
        <f>IF(AND(ISNUMBER(E7),ISNUMBER(D7),D7&lt;&gt;0),E7/D7,"")</f>
        <v>0.9705882352941176</v>
      </c>
      <c r="Y7" s="11">
        <f>IF(AND(ISNUMBER(E7),ISNUMBER(J7),J7&gt;0),E7/J7,"")</f>
        <v>0.7857142857142857</v>
      </c>
      <c r="AE7" s="10">
        <f>IF(COUNTIFS('Product values'!$A$2:$A$27,A7,'Product values'!$G$2:$G$27,"&lt;&gt;")=0,"",SUMIFS('Product values'!$G$2:$G$27,'Product values'!$A$2:$A$27,A7))</f>
        <v/>
      </c>
      <c r="AF7" s="10">
        <f>IF(AND(ISNUMBER(U7),ISNUMBER(AE7)),U7-AE7,"")</f>
        <v/>
      </c>
    </row>
    <row r="8" spans="1:32">
      <c r="A8" t="s">
        <v>75</v>
      </c>
      <c r="B8" s="5">
        <v>46204</v>
      </c>
      <c r="C8" s="5">
        <v>46218</v>
      </c>
      <c r="D8" s="6">
        <v>31</v>
      </c>
      <c r="E8" s="6">
        <v>30</v>
      </c>
      <c r="F8" s="7"/>
      <c r="G8" s="8">
        <v>40</v>
      </c>
      <c r="I8" t="s">
        <v>71</v>
      </c>
      <c r="J8" s="9">
        <f>IF(ISNUMBER(G8),G8,IF(ISNUMBER(H8),H8,""))</f>
        <v>40.0</v>
      </c>
      <c r="K8" s="10">
        <f>IF(AND(ISNUMBER(E8),ISNUMBER(J8),J8&gt;0),E8/J8*Referenz,"")</f>
        <v>30.0</v>
      </c>
      <c r="L8">
        <f>COUNT(K$4:K8)</f>
        <v>5</v>
      </c>
      <c r="M8" s="10">
        <f>IF(NOT(ISNUMBER(K8)),"",IF(L8&gt;=Fenster,AVERAGEIFS(K$4:K8,L$4:L8,"&gt;"&amp;(L8-Fenster)),IF(AND(Duenn_nVelocity,L8&gt;=3),AVERAGE(K$4:K8),"")))</f>
        <v>31.590977443609024</v>
      </c>
      <c r="N8" s="10">
        <f>IF(ISNUMBER(M8),"",IF(Duenn_nVelocity,IF(ISNUMBER(O7),O7,""),IF(ISNUMBER(O7),O7,"")))</f>
        <v/>
      </c>
      <c r="O8" s="10">
        <f>IF(ISNUMBER(M8),M8,IF(ISNUMBER(N8),N8,""))</f>
        <v>31.590977443609024</v>
      </c>
      <c r="P8">
        <f>COUNT(J$4:J8)</f>
        <v>5</v>
      </c>
      <c r="Q8" s="10">
        <f>IF(NOT(ISNUMBER(J8)),"",IF(P8&gt;=Fenster,AVERAGEIFS(J$4:J8,P$4:P8,"&gt;"&amp;(P8-Fenster)),IF(AND(Duenn_Kapazitaet,P8&gt;=3),AVERAGE(J$4:J8),"")))</f>
        <v>40.0</v>
      </c>
      <c r="R8" s="10">
        <f>IF(ISNUMBER(Q8),"",IF(Duenn_Kapazitaet,IF(ISNUMBER(S7),S7,""),IF(ISNUMBER(S7),S7,"")))</f>
        <v/>
      </c>
      <c r="S8" s="10">
        <f>IF(ISNUMBER(Q8),Q8,IF(ISNUMBER(R8),R8,""))</f>
        <v>40.0</v>
      </c>
      <c r="T8" s="9">
        <f>IF(ISNUMBER(J8),J8,R8)</f>
        <v>40.0</v>
      </c>
      <c r="U8" s="10">
        <f>IF(AND(ISNUMBER(N8),ISNUMBER(T8)),MAX(0,ROUNDDOWN(N8/Referenz*T8,Rundung)),IF(ISNUMBER(D8),ROUNDDOWN(D8,Rundung),""))</f>
        <v>31.0</v>
      </c>
      <c r="V8" s="10">
        <f>IF(ISNUMBER(U8),U8*Roadmap_Anteil,"")</f>
        <v>24.8</v>
      </c>
      <c r="W8" s="10">
        <f>IF(ISNUMBER(U8),U8-V8,"")</f>
        <v>6.199999999999999</v>
      </c>
      <c r="X8" s="11">
        <f>IF(AND(ISNUMBER(E8),ISNUMBER(D8),D8&lt;&gt;0),E8/D8,"")</f>
        <v>0.967741935483871</v>
      </c>
      <c r="Y8" s="11">
        <f>IF(AND(ISNUMBER(E8),ISNUMBER(J8),J8&gt;0),E8/J8,"")</f>
        <v>0.75</v>
      </c>
      <c r="AE8" s="10">
        <f>IF(COUNTIFS('Product values'!$A$2:$A$27,A8,'Product values'!$G$2:$G$27,"&lt;&gt;")=0,"",SUMIFS('Product values'!$G$2:$G$27,'Product values'!$A$2:$A$27,A8))</f>
        <v/>
      </c>
      <c r="AF8" s="10">
        <f>IF(AND(ISNUMBER(U8),ISNUMBER(AE8)),U8-AE8,"")</f>
        <v/>
      </c>
    </row>
    <row r="9" spans="1:32">
      <c r="A9" t="s">
        <v>76</v>
      </c>
      <c r="B9" s="5">
        <v>46218</v>
      </c>
      <c r="C9" s="5">
        <v>46232</v>
      </c>
      <c r="D9" s="6">
        <v>32</v>
      </c>
      <c r="E9" s="6"/>
      <c r="F9" s="7"/>
      <c r="G9" s="8">
        <v>40</v>
      </c>
      <c r="I9" t="s">
        <v>71</v>
      </c>
      <c r="J9" s="9">
        <f>IF(ISNUMBER(G9),G9,IF(ISNUMBER(H9),H9,""))</f>
        <v>40.0</v>
      </c>
      <c r="K9" s="10">
        <f>IF(AND(ISNUMBER(E9),ISNUMBER(J9),J9&gt;0),E9/J9*Referenz,"")</f>
        <v/>
      </c>
      <c r="L9">
        <f>COUNT(K$4:K9)</f>
        <v>5</v>
      </c>
      <c r="M9" s="10">
        <f>IF(NOT(ISNUMBER(K9)),"",IF(L9&gt;=Fenster,AVERAGEIFS(K$4:K9,L$4:L9,"&gt;"&amp;(L9-Fenster)),IF(AND(Duenn_nVelocity,L9&gt;=3),AVERAGE(K$4:K9),"")))</f>
        <v/>
      </c>
      <c r="N9" s="10">
        <f>IF(ISNUMBER(M9),"",IF(Duenn_nVelocity,IF(ISNUMBER(O8),O8,""),IF(ISNUMBER(O8),O8,"")))</f>
        <v>31.590977443609024</v>
      </c>
      <c r="O9" s="10">
        <f>IF(ISNUMBER(M9),M9,IF(ISNUMBER(N9),N9,""))</f>
        <v>31.590977443609024</v>
      </c>
      <c r="P9">
        <f>COUNT(J$4:J9)</f>
        <v>6</v>
      </c>
      <c r="Q9" s="10">
        <f>IF(NOT(ISNUMBER(J9)),"",IF(P9&gt;=Fenster,AVERAGEIFS(J$4:J9,P$4:P9,"&gt;"&amp;(P9-Fenster)),IF(AND(Duenn_Kapazitaet,P9&gt;=3),AVERAGE(J$4:J9),"")))</f>
        <v>40.0</v>
      </c>
      <c r="R9" s="10">
        <f>IF(ISNUMBER(Q9),"",IF(Duenn_Kapazitaet,IF(ISNUMBER(S8),S8,""),IF(ISNUMBER(S8),S8,"")))</f>
        <v/>
      </c>
      <c r="S9" s="10">
        <f>IF(ISNUMBER(Q9),Q9,IF(ISNUMBER(R9),R9,""))</f>
        <v>40.0</v>
      </c>
      <c r="T9" s="9">
        <f>IF(ISNUMBER(J9),J9,R9)</f>
        <v>40.0</v>
      </c>
      <c r="U9" s="10">
        <f>IF(AND(ISNUMBER(N9),ISNUMBER(T9)),MAX(0,ROUNDDOWN(N9/Referenz*T9,Rundung)),IF(ISNUMBER(D9),ROUNDDOWN(D9,Rundung),""))</f>
        <v>31.5</v>
      </c>
      <c r="V9" s="10">
        <f>IF(ISNUMBER(U9),U9*Roadmap_Anteil,"")</f>
        <v>25.200000000000003</v>
      </c>
      <c r="W9" s="10">
        <f>IF(ISNUMBER(U9),U9-V9,"")</f>
        <v>6.299999999999997</v>
      </c>
      <c r="X9" s="11">
        <f>IF(AND(ISNUMBER(E9),ISNUMBER(D9),D9&lt;&gt;0),E9/D9,"")</f>
        <v/>
      </c>
      <c r="Y9" s="11">
        <f>IF(AND(ISNUMBER(E9),ISNUMBER(J9),J9&gt;0),E9/J9,"")</f>
        <v/>
      </c>
      <c r="AE9" s="10">
        <f>IF(COUNTIFS('Product values'!$A$2:$A$27,A9,'Product values'!$G$2:$G$27,"&lt;&gt;")=0,"",SUMIFS('Product values'!$G$2:$G$27,'Product values'!$A$2:$A$27,A9))</f>
        <v/>
      </c>
      <c r="AF9" s="10">
        <f>IF(AND(ISNUMBER(U9),ISNUMBER(AE9)),U9-AE9,"")</f>
        <v/>
      </c>
    </row>
    <row r="10" spans="1:32">
      <c r="A10" t="s">
        <v>77</v>
      </c>
      <c r="B10" s="5">
        <v>46232</v>
      </c>
      <c r="C10" s="5">
        <v>46246</v>
      </c>
      <c r="D10" s="6"/>
      <c r="E10" s="6"/>
      <c r="F10" s="7"/>
      <c r="G10" s="8"/>
      <c r="J10" s="9">
        <f>IF(ISNUMBER(G10),G10,IF(ISNUMBER(H10),H10,""))</f>
        <v/>
      </c>
      <c r="K10" s="10">
        <f>IF(AND(ISNUMBER(E10),ISNUMBER(J10),J10&gt;0),E10/J10*Referenz,"")</f>
        <v/>
      </c>
      <c r="L10">
        <f>COUNT(K$4:K10)</f>
        <v>5</v>
      </c>
      <c r="M10" s="10">
        <f>IF(NOT(ISNUMBER(K10)),"",IF(L10&gt;=Fenster,AVERAGEIFS(K$4:K10,L$4:L10,"&gt;"&amp;(L10-Fenster)),IF(AND(Duenn_nVelocity,L10&gt;=3),AVERAGE(K$4:K10),"")))</f>
        <v/>
      </c>
      <c r="N10" s="10">
        <f>IF(ISNUMBER(M10),"",IF(Duenn_nVelocity,IF(ISNUMBER(O9),O9,""),IF(ISNUMBER(O9),O9,"")))</f>
        <v>31.590977443609024</v>
      </c>
      <c r="O10" s="10">
        <f>IF(ISNUMBER(M10),M10,IF(ISNUMBER(N10),N10,""))</f>
        <v>31.590977443609024</v>
      </c>
      <c r="P10">
        <f>COUNT(J$4:J10)</f>
        <v>6</v>
      </c>
      <c r="Q10" s="10">
        <f>IF(NOT(ISNUMBER(J10)),"",IF(P10&gt;=Fenster,AVERAGEIFS(J$4:J10,P$4:P10,"&gt;"&amp;(P10-Fenster)),IF(AND(Duenn_Kapazitaet,P10&gt;=3),AVERAGE(J$4:J10),"")))</f>
        <v/>
      </c>
      <c r="R10" s="10">
        <f>IF(ISNUMBER(Q10),"",IF(Duenn_Kapazitaet,IF(ISNUMBER(S9),S9,""),IF(ISNUMBER(S9),S9,"")))</f>
        <v>40.0</v>
      </c>
      <c r="S10" s="10">
        <f>IF(ISNUMBER(Q10),Q10,IF(ISNUMBER(R10),R10,""))</f>
        <v>40.0</v>
      </c>
      <c r="T10" s="9">
        <f>IF(ISNUMBER(J10),J10,R10)</f>
        <v>40.0</v>
      </c>
      <c r="U10" s="10">
        <f>IF(AND(ISNUMBER(N10),ISNUMBER(T10)),MAX(0,ROUNDDOWN(N10/Referenz*T10,Rundung)),IF(ISNUMBER(D10),ROUNDDOWN(D10,Rundung),""))</f>
        <v>31.5</v>
      </c>
      <c r="V10" s="10">
        <f>IF(ISNUMBER(U10),U10*Roadmap_Anteil,"")</f>
        <v>25.200000000000003</v>
      </c>
      <c r="W10" s="10">
        <f>IF(ISNUMBER(U10),U10-V10,"")</f>
        <v>6.299999999999997</v>
      </c>
      <c r="X10" s="11">
        <f>IF(AND(ISNUMBER(E10),ISNUMBER(D10),D10&lt;&gt;0),E10/D10,"")</f>
        <v/>
      </c>
      <c r="Y10" s="11">
        <f>IF(AND(ISNUMBER(E10),ISNUMBER(J10),J10&gt;0),E10/J10,"")</f>
        <v/>
      </c>
      <c r="AE10" s="10">
        <f>IF(COUNTIFS('Product values'!$A$2:$A$27,A10,'Product values'!$G$2:$G$27,"&lt;&gt;")=0,"",SUMIFS('Product values'!$G$2:$G$27,'Product values'!$A$2:$A$27,A10))</f>
        <v/>
      </c>
      <c r="AF10" s="10">
        <f>IF(AND(ISNUMBER(U10),ISNUMBER(AE10)),U10-AE10,"")</f>
        <v/>
      </c>
    </row>
    <row r="11" spans="1:32">
      <c r="A11" t="s">
        <v>78</v>
      </c>
      <c r="B11" s="5">
        <v>46246</v>
      </c>
      <c r="C11" s="5">
        <v>46260</v>
      </c>
      <c r="D11" s="6"/>
      <c r="E11" s="6"/>
      <c r="F11" s="7"/>
      <c r="G11" s="8"/>
      <c r="J11" s="9">
        <f>IF(ISNUMBER(G11),G11,IF(ISNUMBER(H11),H11,""))</f>
        <v/>
      </c>
      <c r="K11" s="10">
        <f>IF(AND(ISNUMBER(E11),ISNUMBER(J11),J11&gt;0),E11/J11*Referenz,"")</f>
        <v/>
      </c>
      <c r="L11">
        <f>COUNT(K$4:K11)</f>
        <v>5</v>
      </c>
      <c r="M11" s="10">
        <f>IF(NOT(ISNUMBER(K11)),"",IF(L11&gt;=Fenster,AVERAGEIFS(K$4:K11,L$4:L11,"&gt;"&amp;(L11-Fenster)),IF(AND(Duenn_nVelocity,L11&gt;=3),AVERAGE(K$4:K11),"")))</f>
        <v/>
      </c>
      <c r="N11" s="10">
        <f>IF(ISNUMBER(M11),"",IF(Duenn_nVelocity,IF(ISNUMBER(O10),O10,""),IF(ISNUMBER(O10),O10,"")))</f>
        <v>31.590977443609024</v>
      </c>
      <c r="O11" s="10">
        <f>IF(ISNUMBER(M11),M11,IF(ISNUMBER(N11),N11,""))</f>
        <v>31.590977443609024</v>
      </c>
      <c r="P11">
        <f>COUNT(J$4:J11)</f>
        <v>6</v>
      </c>
      <c r="Q11" s="10">
        <f>IF(NOT(ISNUMBER(J11)),"",IF(P11&gt;=Fenster,AVERAGEIFS(J$4:J11,P$4:P11,"&gt;"&amp;(P11-Fenster)),IF(AND(Duenn_Kapazitaet,P11&gt;=3),AVERAGE(J$4:J11),"")))</f>
        <v/>
      </c>
      <c r="R11" s="10">
        <f>IF(ISNUMBER(Q11),"",IF(Duenn_Kapazitaet,IF(ISNUMBER(S10),S10,""),IF(ISNUMBER(S10),S10,"")))</f>
        <v>40.0</v>
      </c>
      <c r="S11" s="10">
        <f>IF(ISNUMBER(Q11),Q11,IF(ISNUMBER(R11),R11,""))</f>
        <v>40.0</v>
      </c>
      <c r="T11" s="9">
        <f>IF(ISNUMBER(J11),J11,R11)</f>
        <v>40.0</v>
      </c>
      <c r="U11" s="10">
        <f>IF(AND(ISNUMBER(N11),ISNUMBER(T11)),MAX(0,ROUNDDOWN(N11/Referenz*T11,Rundung)),IF(ISNUMBER(D11),ROUNDDOWN(D11,Rundung),""))</f>
        <v>31.5</v>
      </c>
      <c r="V11" s="10">
        <f>IF(ISNUMBER(U11),U11*Roadmap_Anteil,"")</f>
        <v>25.200000000000003</v>
      </c>
      <c r="W11" s="10">
        <f>IF(ISNUMBER(U11),U11-V11,"")</f>
        <v>6.299999999999997</v>
      </c>
      <c r="X11" s="11">
        <f>IF(AND(ISNUMBER(E11),ISNUMBER(D11),D11&lt;&gt;0),E11/D11,"")</f>
        <v/>
      </c>
      <c r="Y11" s="11">
        <f>IF(AND(ISNUMBER(E11),ISNUMBER(J11),J11&gt;0),E11/J11,"")</f>
        <v/>
      </c>
      <c r="AE11" s="10">
        <f>IF(COUNTIFS('Product values'!$A$2:$A$27,A11,'Product values'!$G$2:$G$27,"&lt;&gt;")=0,"",SUMIFS('Product values'!$G$2:$G$27,'Product values'!$A$2:$A$27,A11))</f>
        <v/>
      </c>
      <c r="AF11" s="10">
        <f>IF(AND(ISNUMBER(U11),ISNUMBER(AE11)),U11-AE11,"")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8.7109375" customWidth="1"/>
    <col min="4" max="4" width="14.7109375" customWidth="1"/>
    <col min="5" max="5" width="12.7109375" customWidth="1"/>
    <col min="6" max="6" width="26.7109375" customWidth="1"/>
    <col min="7" max="8" width="16.7109375" customWidth="1"/>
    <col min="9" max="10" width="20.7109375" customWidth="1"/>
    <col min="11" max="11" width="40.7109375" customWidth="1"/>
  </cols>
  <sheetData>
    <row r="1" spans="1:11" ht="45" customHeight="1">
      <c r="A1" s="2" t="s">
        <v>37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  <c r="J1" s="2" t="s">
        <v>87</v>
      </c>
      <c r="K1" s="2" t="s">
        <v>88</v>
      </c>
    </row>
    <row r="2" spans="1:11">
      <c r="A2" t="s">
        <v>16</v>
      </c>
      <c r="B2" s="3" t="s">
        <v>89</v>
      </c>
      <c r="C2" s="6"/>
      <c r="D2" s="6"/>
      <c r="E2" s="6"/>
      <c r="F2" s="3"/>
      <c r="G2" s="6"/>
      <c r="H2" s="6"/>
      <c r="I2" s="6"/>
      <c r="J2" s="6"/>
      <c r="K2" s="3"/>
    </row>
    <row r="3" spans="1:11">
      <c r="A3" t="s">
        <v>72</v>
      </c>
      <c r="B3" s="3" t="s">
        <v>89</v>
      </c>
      <c r="C3" s="6"/>
      <c r="D3" s="6"/>
      <c r="E3" s="6"/>
      <c r="F3" s="3"/>
      <c r="G3" s="6"/>
      <c r="H3" s="6"/>
      <c r="I3" s="6"/>
      <c r="J3" s="6"/>
      <c r="K3" s="3"/>
    </row>
    <row r="4" spans="1:11">
      <c r="A4" t="s">
        <v>73</v>
      </c>
      <c r="B4" s="3" t="s">
        <v>89</v>
      </c>
      <c r="C4" s="6"/>
      <c r="D4" s="6"/>
      <c r="E4" s="6"/>
      <c r="F4" s="3"/>
      <c r="G4" s="6"/>
      <c r="H4" s="6"/>
      <c r="I4" s="6"/>
      <c r="J4" s="6"/>
      <c r="K4" s="3"/>
    </row>
    <row r="5" spans="1:11">
      <c r="A5" t="s">
        <v>74</v>
      </c>
      <c r="B5" s="3" t="s">
        <v>89</v>
      </c>
      <c r="C5" s="6"/>
      <c r="D5" s="6"/>
      <c r="E5" s="6"/>
      <c r="F5" s="3"/>
      <c r="G5" s="6"/>
      <c r="H5" s="6"/>
      <c r="I5" s="6"/>
      <c r="J5" s="6"/>
      <c r="K5" s="3"/>
    </row>
    <row r="6" spans="1:11">
      <c r="A6" t="s">
        <v>75</v>
      </c>
      <c r="B6" s="3" t="s">
        <v>89</v>
      </c>
      <c r="C6" s="6"/>
      <c r="D6" s="6"/>
      <c r="E6" s="6"/>
      <c r="F6" s="3"/>
      <c r="G6" s="6"/>
      <c r="H6" s="6"/>
      <c r="I6" s="6"/>
      <c r="J6" s="6"/>
      <c r="K6" s="3"/>
    </row>
    <row r="7" spans="1:11">
      <c r="A7" t="s">
        <v>76</v>
      </c>
      <c r="B7" s="3" t="s">
        <v>89</v>
      </c>
      <c r="C7" s="6"/>
      <c r="D7" s="6"/>
      <c r="E7" s="6"/>
      <c r="F7" s="3"/>
      <c r="G7" s="6"/>
      <c r="H7" s="6"/>
      <c r="I7" s="6"/>
      <c r="J7" s="6"/>
      <c r="K7" s="3"/>
    </row>
    <row r="8" spans="1:11">
      <c r="A8" t="s">
        <v>77</v>
      </c>
      <c r="B8" s="3"/>
      <c r="C8" s="6"/>
      <c r="D8" s="6"/>
      <c r="E8" s="6"/>
      <c r="F8" s="3"/>
      <c r="G8" s="6"/>
      <c r="H8" s="6"/>
      <c r="I8" s="6"/>
      <c r="J8" s="6"/>
      <c r="K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0.7109375" customWidth="1"/>
    <col min="3" max="3" width="24.7109375" customWidth="1"/>
    <col min="4" max="4" width="8.7109375" customWidth="1"/>
    <col min="5" max="5" width="30.7109375" customWidth="1"/>
  </cols>
  <sheetData>
    <row r="1" spans="1:5" ht="45" customHeight="1">
      <c r="A1" s="2" t="s">
        <v>37</v>
      </c>
      <c r="B1" s="2" t="s">
        <v>90</v>
      </c>
      <c r="C1" s="2" t="s">
        <v>91</v>
      </c>
      <c r="D1" s="2" t="s">
        <v>92</v>
      </c>
      <c r="E1" s="2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4" width="8.7109375" customWidth="1"/>
    <col min="5" max="5" width="18.7109375" customWidth="1"/>
    <col min="6" max="6" width="12.7109375" customWidth="1"/>
    <col min="7" max="8" width="13.7109375" customWidth="1"/>
    <col min="9" max="9" width="8.7109375" customWidth="1"/>
  </cols>
  <sheetData>
    <row r="1" spans="1:9" ht="45" customHeight="1">
      <c r="A1" s="2" t="s">
        <v>94</v>
      </c>
      <c r="B1" s="2" t="s">
        <v>91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5" width="13.7109375" customWidth="1"/>
    <col min="6" max="6" width="12.7109375" customWidth="1"/>
  </cols>
  <sheetData>
    <row r="1" spans="1:6" ht="45" customHeight="1">
      <c r="A1" s="2" t="s">
        <v>94</v>
      </c>
      <c r="B1" s="2" t="s">
        <v>91</v>
      </c>
      <c r="C1" s="2" t="s">
        <v>102</v>
      </c>
      <c r="D1" s="2" t="s">
        <v>103</v>
      </c>
      <c r="E1" s="2" t="s">
        <v>104</v>
      </c>
      <c r="F1" s="2" t="s">
        <v>105</v>
      </c>
    </row>
    <row r="2" spans="1:6">
      <c r="A2" s="3" t="s">
        <v>106</v>
      </c>
      <c r="B2" s="3" t="s">
        <v>107</v>
      </c>
      <c r="C2" s="3" t="s">
        <v>108</v>
      </c>
      <c r="D2" s="12"/>
      <c r="E2" s="12"/>
      <c r="F2" s="6">
        <v>0.5</v>
      </c>
    </row>
    <row r="3" spans="1:6">
      <c r="A3" s="3" t="s">
        <v>109</v>
      </c>
      <c r="B3" s="3" t="s">
        <v>110</v>
      </c>
      <c r="C3" s="3" t="s">
        <v>108</v>
      </c>
      <c r="D3" s="12"/>
      <c r="E3" s="12"/>
      <c r="F3" s="6"/>
    </row>
    <row r="4" spans="1:6">
      <c r="A4" s="3" t="s">
        <v>111</v>
      </c>
      <c r="B4" s="3" t="s">
        <v>112</v>
      </c>
      <c r="C4" s="3" t="s">
        <v>113</v>
      </c>
      <c r="D4" s="12"/>
      <c r="E4" s="12">
        <v>46254</v>
      </c>
      <c r="F4" s="6"/>
    </row>
    <row r="5" spans="1:6">
      <c r="A5" s="3" t="s">
        <v>114</v>
      </c>
      <c r="B5" s="3" t="s">
        <v>115</v>
      </c>
      <c r="C5" s="3" t="s">
        <v>113</v>
      </c>
      <c r="D5" s="12">
        <v>46239</v>
      </c>
      <c r="E5" s="12"/>
      <c r="F5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22.7109375" customWidth="1"/>
    <col min="4" max="4" width="16.7109375" customWidth="1"/>
    <col min="5" max="8" width="12.7109375" customWidth="1"/>
    <col min="9" max="10" width="14.7109375" customWidth="1"/>
    <col min="11" max="12" width="16.7109375" customWidth="1"/>
  </cols>
  <sheetData>
    <row r="1" spans="1:12" ht="45" customHeight="1">
      <c r="A1" s="2" t="s">
        <v>37</v>
      </c>
      <c r="B1" s="2" t="s">
        <v>123</v>
      </c>
      <c r="C1" s="2" t="s">
        <v>124</v>
      </c>
      <c r="D1" s="2" t="s">
        <v>102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  <c r="K1" s="2" t="s">
        <v>131</v>
      </c>
      <c r="L1" s="2" t="s">
        <v>132</v>
      </c>
    </row>
    <row r="2" spans="1:12">
      <c r="A2" t="s">
        <v>16</v>
      </c>
      <c r="B2" t="s">
        <v>106</v>
      </c>
      <c r="C2" t="s">
        <v>107</v>
      </c>
      <c r="D2" t="s">
        <v>108</v>
      </c>
      <c r="E2" s="10">
        <v>16</v>
      </c>
      <c r="F2" s="6"/>
      <c r="G2" s="6"/>
      <c r="H2" s="6"/>
      <c r="I2" s="6"/>
      <c r="J2" s="6"/>
      <c r="K2" s="10">
        <f>IF(AND(ISNUMBER(G2),ISNUMBER(I2)),G2-I2,"")</f>
        <v/>
      </c>
      <c r="L2" s="10">
        <f>IF(AND(ISNUMBER(H2),ISNUMBER(J2)),H2-J2,"")</f>
        <v/>
      </c>
    </row>
    <row r="3" spans="1:12">
      <c r="A3" t="s">
        <v>16</v>
      </c>
      <c r="B3" t="s">
        <v>109</v>
      </c>
      <c r="C3" t="s">
        <v>110</v>
      </c>
      <c r="D3" t="s">
        <v>108</v>
      </c>
      <c r="E3" s="10">
        <v>8</v>
      </c>
      <c r="F3" s="6"/>
      <c r="G3" s="6"/>
      <c r="H3" s="6"/>
      <c r="I3" s="6"/>
      <c r="J3" s="6"/>
      <c r="K3" s="10">
        <f>IF(AND(ISNUMBER(G3),ISNUMBER(I3)),G3-I3,"")</f>
        <v/>
      </c>
      <c r="L3" s="10">
        <f>IF(AND(ISNUMBER(H3),ISNUMBER(J3)),H3-J3,"")</f>
        <v/>
      </c>
    </row>
    <row r="4" spans="1:12">
      <c r="A4" t="s">
        <v>16</v>
      </c>
      <c r="B4" t="s">
        <v>111</v>
      </c>
      <c r="C4" t="s">
        <v>112</v>
      </c>
      <c r="D4" t="s">
        <v>113</v>
      </c>
      <c r="E4" s="10">
        <v>8</v>
      </c>
      <c r="F4" s="6"/>
      <c r="G4" s="6"/>
      <c r="H4" s="6"/>
      <c r="I4" s="6"/>
      <c r="J4" s="6"/>
      <c r="K4" s="10">
        <f>IF(AND(ISNUMBER(G4),ISNUMBER(I4)),G4-I4,"")</f>
        <v/>
      </c>
      <c r="L4" s="10">
        <f>IF(AND(ISNUMBER(H4),ISNUMBER(J4)),H4-J4,"")</f>
        <v/>
      </c>
    </row>
    <row r="5" spans="1:12">
      <c r="A5" t="s">
        <v>72</v>
      </c>
      <c r="B5" t="s">
        <v>106</v>
      </c>
      <c r="C5" t="s">
        <v>107</v>
      </c>
      <c r="D5" t="s">
        <v>108</v>
      </c>
      <c r="E5" s="10">
        <v>15</v>
      </c>
      <c r="F5" s="6"/>
      <c r="G5" s="6"/>
      <c r="H5" s="6"/>
      <c r="I5" s="6"/>
      <c r="J5" s="6"/>
      <c r="K5" s="10">
        <f>IF(AND(ISNUMBER(G5),ISNUMBER(I5)),G5-I5,"")</f>
        <v/>
      </c>
      <c r="L5" s="10">
        <f>IF(AND(ISNUMBER(H5),ISNUMBER(J5)),H5-J5,"")</f>
        <v/>
      </c>
    </row>
    <row r="6" spans="1:12">
      <c r="A6" t="s">
        <v>72</v>
      </c>
      <c r="B6" t="s">
        <v>109</v>
      </c>
      <c r="C6" t="s">
        <v>110</v>
      </c>
      <c r="D6" t="s">
        <v>108</v>
      </c>
      <c r="E6" s="10">
        <v>7.5</v>
      </c>
      <c r="F6" s="6"/>
      <c r="G6" s="6"/>
      <c r="H6" s="6"/>
      <c r="I6" s="6"/>
      <c r="J6" s="6"/>
      <c r="K6" s="10">
        <f>IF(AND(ISNUMBER(G6),ISNUMBER(I6)),G6-I6,"")</f>
        <v/>
      </c>
      <c r="L6" s="10">
        <f>IF(AND(ISNUMBER(H6),ISNUMBER(J6)),H6-J6,"")</f>
        <v/>
      </c>
    </row>
    <row r="7" spans="1:12">
      <c r="A7" t="s">
        <v>72</v>
      </c>
      <c r="B7" t="s">
        <v>111</v>
      </c>
      <c r="C7" t="s">
        <v>112</v>
      </c>
      <c r="D7" t="s">
        <v>113</v>
      </c>
      <c r="E7" s="10">
        <v>7.5</v>
      </c>
      <c r="F7" s="6"/>
      <c r="G7" s="6"/>
      <c r="H7" s="6"/>
      <c r="I7" s="6"/>
      <c r="J7" s="6"/>
      <c r="K7" s="10">
        <f>IF(AND(ISNUMBER(G7),ISNUMBER(I7)),G7-I7,"")</f>
        <v/>
      </c>
      <c r="L7" s="10">
        <f>IF(AND(ISNUMBER(H7),ISNUMBER(J7)),H7-J7,"")</f>
        <v/>
      </c>
    </row>
    <row r="8" spans="1:12">
      <c r="A8" t="s">
        <v>73</v>
      </c>
      <c r="B8" t="s">
        <v>106</v>
      </c>
      <c r="C8" t="s">
        <v>107</v>
      </c>
      <c r="D8" t="s">
        <v>108</v>
      </c>
      <c r="E8" s="10">
        <v>17</v>
      </c>
      <c r="F8" s="6"/>
      <c r="G8" s="6"/>
      <c r="H8" s="6"/>
      <c r="I8" s="6"/>
      <c r="J8" s="6"/>
      <c r="K8" s="10">
        <f>IF(AND(ISNUMBER(G8),ISNUMBER(I8)),G8-I8,"")</f>
        <v/>
      </c>
      <c r="L8" s="10">
        <f>IF(AND(ISNUMBER(H8),ISNUMBER(J8)),H8-J8,"")</f>
        <v/>
      </c>
    </row>
    <row r="9" spans="1:12">
      <c r="A9" t="s">
        <v>73</v>
      </c>
      <c r="B9" t="s">
        <v>109</v>
      </c>
      <c r="C9" t="s">
        <v>110</v>
      </c>
      <c r="D9" t="s">
        <v>108</v>
      </c>
      <c r="E9" s="10">
        <v>8.5</v>
      </c>
      <c r="F9" s="6"/>
      <c r="G9" s="6"/>
      <c r="H9" s="6"/>
      <c r="I9" s="6"/>
      <c r="J9" s="6"/>
      <c r="K9" s="10">
        <f>IF(AND(ISNUMBER(G9),ISNUMBER(I9)),G9-I9,"")</f>
        <v/>
      </c>
      <c r="L9" s="10">
        <f>IF(AND(ISNUMBER(H9),ISNUMBER(J9)),H9-J9,"")</f>
        <v/>
      </c>
    </row>
    <row r="10" spans="1:12">
      <c r="A10" t="s">
        <v>73</v>
      </c>
      <c r="B10" t="s">
        <v>111</v>
      </c>
      <c r="C10" t="s">
        <v>112</v>
      </c>
      <c r="D10" t="s">
        <v>113</v>
      </c>
      <c r="E10" s="10">
        <v>8.5</v>
      </c>
      <c r="F10" s="6"/>
      <c r="G10" s="6"/>
      <c r="H10" s="6"/>
      <c r="I10" s="6"/>
      <c r="J10" s="6"/>
      <c r="K10" s="10">
        <f>IF(AND(ISNUMBER(G10),ISNUMBER(I10)),G10-I10,"")</f>
        <v/>
      </c>
      <c r="L10" s="10">
        <f>IF(AND(ISNUMBER(H10),ISNUMBER(J10)),H10-J10,"")</f>
        <v/>
      </c>
    </row>
    <row r="11" spans="1:12">
      <c r="A11" t="s">
        <v>74</v>
      </c>
      <c r="B11" t="s">
        <v>106</v>
      </c>
      <c r="C11" t="s">
        <v>107</v>
      </c>
      <c r="D11" t="s">
        <v>108</v>
      </c>
      <c r="E11" s="10">
        <v>17</v>
      </c>
      <c r="F11" s="6"/>
      <c r="G11" s="6"/>
      <c r="H11" s="6"/>
      <c r="I11" s="6"/>
      <c r="J11" s="6"/>
      <c r="K11" s="10">
        <f>IF(AND(ISNUMBER(G11),ISNUMBER(I11)),G11-I11,"")</f>
        <v/>
      </c>
      <c r="L11" s="10">
        <f>IF(AND(ISNUMBER(H11),ISNUMBER(J11)),H11-J11,"")</f>
        <v/>
      </c>
    </row>
    <row r="12" spans="1:12">
      <c r="A12" t="s">
        <v>74</v>
      </c>
      <c r="B12" t="s">
        <v>109</v>
      </c>
      <c r="C12" t="s">
        <v>110</v>
      </c>
      <c r="D12" t="s">
        <v>108</v>
      </c>
      <c r="E12" s="10">
        <v>8.5</v>
      </c>
      <c r="F12" s="6"/>
      <c r="G12" s="6"/>
      <c r="H12" s="6"/>
      <c r="I12" s="6"/>
      <c r="J12" s="6"/>
      <c r="K12" s="10">
        <f>IF(AND(ISNUMBER(G12),ISNUMBER(I12)),G12-I12,"")</f>
        <v/>
      </c>
      <c r="L12" s="10">
        <f>IF(AND(ISNUMBER(H12),ISNUMBER(J12)),H12-J12,"")</f>
        <v/>
      </c>
    </row>
    <row r="13" spans="1:12">
      <c r="A13" t="s">
        <v>74</v>
      </c>
      <c r="B13" t="s">
        <v>111</v>
      </c>
      <c r="C13" t="s">
        <v>112</v>
      </c>
      <c r="D13" t="s">
        <v>113</v>
      </c>
      <c r="E13" s="10">
        <v>8.5</v>
      </c>
      <c r="F13" s="6"/>
      <c r="G13" s="6"/>
      <c r="H13" s="6"/>
      <c r="I13" s="6"/>
      <c r="J13" s="6"/>
      <c r="K13" s="10">
        <f>IF(AND(ISNUMBER(G13),ISNUMBER(I13)),G13-I13,"")</f>
        <v/>
      </c>
      <c r="L13" s="10">
        <f>IF(AND(ISNUMBER(H13),ISNUMBER(J13)),H13-J13,"")</f>
        <v/>
      </c>
    </row>
    <row r="14" spans="1:12">
      <c r="A14" t="s">
        <v>75</v>
      </c>
      <c r="B14" t="s">
        <v>106</v>
      </c>
      <c r="C14" t="s">
        <v>107</v>
      </c>
      <c r="D14" t="s">
        <v>108</v>
      </c>
      <c r="E14" s="10">
        <v>15.5</v>
      </c>
      <c r="F14" s="6"/>
      <c r="G14" s="6"/>
      <c r="H14" s="6"/>
      <c r="I14" s="6"/>
      <c r="J14" s="6"/>
      <c r="K14" s="10">
        <f>IF(AND(ISNUMBER(G14),ISNUMBER(I14)),G14-I14,"")</f>
        <v/>
      </c>
      <c r="L14" s="10">
        <f>IF(AND(ISNUMBER(H14),ISNUMBER(J14)),H14-J14,"")</f>
        <v/>
      </c>
    </row>
    <row r="15" spans="1:12">
      <c r="A15" t="s">
        <v>75</v>
      </c>
      <c r="B15" t="s">
        <v>109</v>
      </c>
      <c r="C15" t="s">
        <v>110</v>
      </c>
      <c r="D15" t="s">
        <v>108</v>
      </c>
      <c r="E15" s="10">
        <v>7.75</v>
      </c>
      <c r="F15" s="6"/>
      <c r="G15" s="6"/>
      <c r="H15" s="6"/>
      <c r="I15" s="6"/>
      <c r="J15" s="6"/>
      <c r="K15" s="10">
        <f>IF(AND(ISNUMBER(G15),ISNUMBER(I15)),G15-I15,"")</f>
        <v/>
      </c>
      <c r="L15" s="10">
        <f>IF(AND(ISNUMBER(H15),ISNUMBER(J15)),H15-J15,"")</f>
        <v/>
      </c>
    </row>
    <row r="16" spans="1:12">
      <c r="A16" t="s">
        <v>75</v>
      </c>
      <c r="B16" t="s">
        <v>111</v>
      </c>
      <c r="C16" t="s">
        <v>112</v>
      </c>
      <c r="D16" t="s">
        <v>113</v>
      </c>
      <c r="E16" s="10">
        <v>7.75</v>
      </c>
      <c r="F16" s="6"/>
      <c r="G16" s="6"/>
      <c r="H16" s="6"/>
      <c r="I16" s="6"/>
      <c r="J16" s="6"/>
      <c r="K16" s="10">
        <f>IF(AND(ISNUMBER(G16),ISNUMBER(I16)),G16-I16,"")</f>
        <v/>
      </c>
      <c r="L16" s="10">
        <f>IF(AND(ISNUMBER(H16),ISNUMBER(J16)),H16-J16,"")</f>
        <v/>
      </c>
    </row>
    <row r="17" spans="1:12">
      <c r="A17" t="s">
        <v>76</v>
      </c>
      <c r="B17" t="s">
        <v>106</v>
      </c>
      <c r="C17" t="s">
        <v>107</v>
      </c>
      <c r="D17" t="s">
        <v>108</v>
      </c>
      <c r="E17" s="10">
        <v>15.75</v>
      </c>
      <c r="F17" s="6"/>
      <c r="G17" s="6"/>
      <c r="H17" s="6"/>
      <c r="I17" s="6"/>
      <c r="J17" s="6"/>
      <c r="K17" s="10">
        <f>IF(AND(ISNUMBER(G17),ISNUMBER(I17)),G17-I17,"")</f>
        <v/>
      </c>
      <c r="L17" s="10">
        <f>IF(AND(ISNUMBER(H17),ISNUMBER(J17)),H17-J17,"")</f>
        <v/>
      </c>
    </row>
    <row r="18" spans="1:12">
      <c r="A18" t="s">
        <v>76</v>
      </c>
      <c r="B18" t="s">
        <v>109</v>
      </c>
      <c r="C18" t="s">
        <v>110</v>
      </c>
      <c r="D18" t="s">
        <v>108</v>
      </c>
      <c r="E18" s="10">
        <v>7.875</v>
      </c>
      <c r="F18" s="6"/>
      <c r="G18" s="6"/>
      <c r="H18" s="6"/>
      <c r="I18" s="6"/>
      <c r="J18" s="6"/>
      <c r="K18" s="10">
        <f>IF(AND(ISNUMBER(G18),ISNUMBER(I18)),G18-I18,"")</f>
        <v/>
      </c>
      <c r="L18" s="10">
        <f>IF(AND(ISNUMBER(H18),ISNUMBER(J18)),H18-J18,"")</f>
        <v/>
      </c>
    </row>
    <row r="19" spans="1:12">
      <c r="A19" t="s">
        <v>76</v>
      </c>
      <c r="B19" t="s">
        <v>111</v>
      </c>
      <c r="C19" t="s">
        <v>112</v>
      </c>
      <c r="D19" t="s">
        <v>113</v>
      </c>
      <c r="E19" s="10">
        <v>7.875</v>
      </c>
      <c r="F19" s="6"/>
      <c r="G19" s="6"/>
      <c r="H19" s="6"/>
      <c r="I19" s="6"/>
      <c r="J19" s="6"/>
      <c r="K19" s="10">
        <f>IF(AND(ISNUMBER(G19),ISNUMBER(I19)),G19-I19,"")</f>
        <v/>
      </c>
      <c r="L19" s="10">
        <f>IF(AND(ISNUMBER(H19),ISNUMBER(J19)),H19-J19,"")</f>
        <v/>
      </c>
    </row>
    <row r="20" spans="1:12">
      <c r="A20" t="s">
        <v>77</v>
      </c>
      <c r="B20" t="s">
        <v>106</v>
      </c>
      <c r="C20" t="s">
        <v>107</v>
      </c>
      <c r="D20" t="s">
        <v>108</v>
      </c>
      <c r="E20" s="10">
        <v>15.75</v>
      </c>
      <c r="F20" s="6"/>
      <c r="G20" s="6"/>
      <c r="H20" s="6"/>
      <c r="I20" s="6"/>
      <c r="J20" s="6"/>
      <c r="K20" s="10">
        <f>IF(AND(ISNUMBER(G20),ISNUMBER(I20)),G20-I20,"")</f>
        <v/>
      </c>
      <c r="L20" s="10">
        <f>IF(AND(ISNUMBER(H20),ISNUMBER(J20)),H20-J20,"")</f>
        <v/>
      </c>
    </row>
    <row r="21" spans="1:12">
      <c r="A21" t="s">
        <v>77</v>
      </c>
      <c r="B21" t="s">
        <v>109</v>
      </c>
      <c r="C21" t="s">
        <v>110</v>
      </c>
      <c r="D21" t="s">
        <v>108</v>
      </c>
      <c r="E21" s="10">
        <v>5.25</v>
      </c>
      <c r="F21" s="6"/>
      <c r="G21" s="6"/>
      <c r="H21" s="6"/>
      <c r="I21" s="6"/>
      <c r="J21" s="6"/>
      <c r="K21" s="10">
        <f>IF(AND(ISNUMBER(G21),ISNUMBER(I21)),G21-I21,"")</f>
        <v/>
      </c>
      <c r="L21" s="10">
        <f>IF(AND(ISNUMBER(H21),ISNUMBER(J21)),H21-J21,"")</f>
        <v/>
      </c>
    </row>
    <row r="22" spans="1:12">
      <c r="A22" t="s">
        <v>77</v>
      </c>
      <c r="B22" t="s">
        <v>111</v>
      </c>
      <c r="C22" t="s">
        <v>112</v>
      </c>
      <c r="D22" t="s">
        <v>113</v>
      </c>
      <c r="E22" s="10">
        <v>5.25</v>
      </c>
      <c r="F22" s="6"/>
      <c r="G22" s="6"/>
      <c r="H22" s="6"/>
      <c r="I22" s="6"/>
      <c r="J22" s="6"/>
      <c r="K22" s="10">
        <f>IF(AND(ISNUMBER(G22),ISNUMBER(I22)),G22-I22,"")</f>
        <v/>
      </c>
      <c r="L22" s="10">
        <f>IF(AND(ISNUMBER(H22),ISNUMBER(J22)),H22-J22,"")</f>
        <v/>
      </c>
    </row>
    <row r="23" spans="1:12">
      <c r="A23" t="s">
        <v>77</v>
      </c>
      <c r="B23" t="s">
        <v>114</v>
      </c>
      <c r="C23" t="s">
        <v>115</v>
      </c>
      <c r="D23" t="s">
        <v>113</v>
      </c>
      <c r="E23" s="10">
        <v>5.25</v>
      </c>
      <c r="F23" s="6"/>
      <c r="G23" s="6"/>
      <c r="H23" s="6"/>
      <c r="I23" s="6"/>
      <c r="J23" s="6"/>
      <c r="K23" s="10">
        <f>IF(AND(ISNUMBER(G23),ISNUMBER(I23)),G23-I23,"")</f>
        <v/>
      </c>
      <c r="L23" s="10">
        <f>IF(AND(ISNUMBER(H23),ISNUMBER(J23)),H23-J23,"")</f>
        <v/>
      </c>
    </row>
    <row r="24" spans="1:12">
      <c r="A24" t="s">
        <v>78</v>
      </c>
      <c r="B24" t="s">
        <v>106</v>
      </c>
      <c r="C24" t="s">
        <v>107</v>
      </c>
      <c r="D24" t="s">
        <v>108</v>
      </c>
      <c r="E24" s="10">
        <v>15.75</v>
      </c>
      <c r="F24" s="6"/>
      <c r="G24" s="6"/>
      <c r="H24" s="6"/>
      <c r="I24" s="6"/>
      <c r="J24" s="6"/>
      <c r="K24" s="10">
        <f>IF(AND(ISNUMBER(G24),ISNUMBER(I24)),G24-I24,"")</f>
        <v/>
      </c>
      <c r="L24" s="10">
        <f>IF(AND(ISNUMBER(H24),ISNUMBER(J24)),H24-J24,"")</f>
        <v/>
      </c>
    </row>
    <row r="25" spans="1:12">
      <c r="A25" t="s">
        <v>78</v>
      </c>
      <c r="B25" t="s">
        <v>109</v>
      </c>
      <c r="C25" t="s">
        <v>110</v>
      </c>
      <c r="D25" t="s">
        <v>108</v>
      </c>
      <c r="E25" s="10">
        <v>5.25</v>
      </c>
      <c r="F25" s="6"/>
      <c r="G25" s="6"/>
      <c r="H25" s="6"/>
      <c r="I25" s="6"/>
      <c r="J25" s="6"/>
      <c r="K25" s="10">
        <f>IF(AND(ISNUMBER(G25),ISNUMBER(I25)),G25-I25,"")</f>
        <v/>
      </c>
      <c r="L25" s="10">
        <f>IF(AND(ISNUMBER(H25),ISNUMBER(J25)),H25-J25,"")</f>
        <v/>
      </c>
    </row>
    <row r="26" spans="1:12">
      <c r="A26" t="s">
        <v>78</v>
      </c>
      <c r="B26" t="s">
        <v>111</v>
      </c>
      <c r="C26" t="s">
        <v>112</v>
      </c>
      <c r="D26" t="s">
        <v>113</v>
      </c>
      <c r="E26" s="10">
        <v>5.25</v>
      </c>
      <c r="F26" s="6"/>
      <c r="G26" s="6"/>
      <c r="H26" s="6"/>
      <c r="I26" s="6"/>
      <c r="J26" s="6"/>
      <c r="K26" s="10">
        <f>IF(AND(ISNUMBER(G26),ISNUMBER(I26)),G26-I26,"")</f>
        <v/>
      </c>
      <c r="L26" s="10">
        <f>IF(AND(ISNUMBER(H26),ISNUMBER(J26)),H26-J26,"")</f>
        <v/>
      </c>
    </row>
    <row r="27" spans="1:12">
      <c r="A27" t="s">
        <v>78</v>
      </c>
      <c r="B27" t="s">
        <v>114</v>
      </c>
      <c r="C27" t="s">
        <v>115</v>
      </c>
      <c r="D27" t="s">
        <v>113</v>
      </c>
      <c r="E27" s="10">
        <v>5.25</v>
      </c>
      <c r="F27" s="6"/>
      <c r="G27" s="6"/>
      <c r="H27" s="6"/>
      <c r="I27" s="6"/>
      <c r="J27" s="6"/>
      <c r="K27" s="10">
        <f>IF(AND(ISNUMBER(G27),ISNUMBER(I27)),G27-I27,"")</f>
        <v/>
      </c>
      <c r="L27" s="10">
        <f>IF(AND(ISNUMBER(H27),ISNUMBER(J27)),H27-J27,"")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9.7109375" customWidth="1"/>
    <col min="3" max="3" width="40.7109375" customWidth="1"/>
    <col min="4" max="4" width="12.7109375" customWidth="1"/>
    <col min="5" max="6" width="14.7109375" customWidth="1"/>
    <col min="7" max="7" width="12.7109375" customWidth="1"/>
    <col min="8" max="8" width="10.7109375" customWidth="1"/>
    <col min="9" max="9" width="12.7109375" customWidth="1"/>
    <col min="10" max="10" width="40.7109375" customWidth="1"/>
  </cols>
  <sheetData>
    <row r="1" spans="1:10" ht="45" customHeight="1">
      <c r="A1" s="2" t="s">
        <v>37</v>
      </c>
      <c r="B1" s="2" t="s">
        <v>116</v>
      </c>
      <c r="C1" s="2" t="s">
        <v>117</v>
      </c>
      <c r="D1" s="2" t="s">
        <v>40</v>
      </c>
      <c r="E1" s="2" t="s">
        <v>118</v>
      </c>
      <c r="F1" s="2" t="s">
        <v>85</v>
      </c>
      <c r="G1" s="2" t="s">
        <v>119</v>
      </c>
      <c r="H1" s="2" t="s">
        <v>120</v>
      </c>
      <c r="I1" s="2" t="s">
        <v>121</v>
      </c>
      <c r="J1" s="2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7" width="16.7109375" customWidth="1"/>
  </cols>
  <sheetData>
    <row r="1" spans="1:7">
      <c r="A1" s="2" t="s">
        <v>37</v>
      </c>
      <c r="B1" s="2" t="s">
        <v>47</v>
      </c>
      <c r="C1" s="2" t="s">
        <v>49</v>
      </c>
      <c r="D1" s="2" t="s">
        <v>50</v>
      </c>
      <c r="E1" s="2" t="s">
        <v>121</v>
      </c>
      <c r="F1" s="2" t="s">
        <v>133</v>
      </c>
      <c r="G1" s="2" t="s">
        <v>134</v>
      </c>
    </row>
    <row r="2" spans="1:7">
      <c r="A2" t="str">
        <f>'Forecast'!A4</f>
        <v>2026.1</v>
      </c>
      <c r="B2">
        <f>IF(ISNUMBER('Forecast'!K4),'Forecast'!K4,NA())</f>
        <v>31.0</v>
      </c>
      <c r="C2" t="e">
        <f>IF(ISNUMBER('Forecast'!M4),'Forecast'!M4,NA())</f>
        <v>#N/A</v>
      </c>
      <c r="D2" t="e">
        <f>IF(ISNUMBER('Forecast'!N4),'Forecast'!N4,NA())</f>
        <v>#N/A</v>
      </c>
      <c r="E2">
        <f>IF(ISNUMBER('Forecast'!U4),'Forecast'!U4,NA())</f>
        <v>32.0</v>
      </c>
      <c r="F2">
        <f>IF(ISNUMBER('Forecast'!E4),'Forecast'!E4,NA())</f>
        <v>31.0</v>
      </c>
      <c r="G2">
        <f>IF(ISNUMBER('Forecast'!D4),'Forecast'!D4,NA())</f>
        <v>32.0</v>
      </c>
    </row>
    <row r="3" spans="1:7">
      <c r="A3" t="str">
        <f>'Forecast'!A5</f>
        <v>2026.2</v>
      </c>
      <c r="B3">
        <f>IF(ISNUMBER('Forecast'!K5),'Forecast'!K5,NA())</f>
        <v>30.526315789473685</v>
      </c>
      <c r="C3" t="e">
        <f>IF(ISNUMBER('Forecast'!M5),'Forecast'!M5,NA())</f>
        <v>#N/A</v>
      </c>
      <c r="D3" t="e">
        <f>IF(ISNUMBER('Forecast'!N5),'Forecast'!N5,NA())</f>
        <v>#N/A</v>
      </c>
      <c r="E3">
        <f>IF(ISNUMBER('Forecast'!U5),'Forecast'!U5,NA())</f>
        <v>30.0</v>
      </c>
      <c r="F3">
        <f>IF(ISNUMBER('Forecast'!E5),'Forecast'!E5,NA())</f>
        <v>29.0</v>
      </c>
      <c r="G3">
        <f>IF(ISNUMBER('Forecast'!D5),'Forecast'!D5,NA())</f>
        <v>30.0</v>
      </c>
    </row>
    <row r="4" spans="1:7">
      <c r="A4" t="str">
        <f>'Forecast'!A6</f>
        <v>2026.3</v>
      </c>
      <c r="B4">
        <f>IF(ISNUMBER('Forecast'!K6),'Forecast'!K6,NA())</f>
        <v>35.0</v>
      </c>
      <c r="C4" t="e">
        <f>IF(ISNUMBER('Forecast'!M6),'Forecast'!M6,NA())</f>
        <v>#N/A</v>
      </c>
      <c r="D4" t="e">
        <f>IF(ISNUMBER('Forecast'!N6),'Forecast'!N6,NA())</f>
        <v>#N/A</v>
      </c>
      <c r="E4">
        <f>IF(ISNUMBER('Forecast'!U6),'Forecast'!U6,NA())</f>
        <v>34.0</v>
      </c>
      <c r="F4">
        <f>IF(ISNUMBER('Forecast'!E6),'Forecast'!E6,NA())</f>
        <v>35.0</v>
      </c>
      <c r="G4">
        <f>IF(ISNUMBER('Forecast'!D6),'Forecast'!D6,NA())</f>
        <v>34.0</v>
      </c>
    </row>
    <row r="5" spans="1:7">
      <c r="A5" t="str">
        <f>'Forecast'!A7</f>
        <v>2026.4</v>
      </c>
      <c r="B5">
        <f>IF(ISNUMBER('Forecast'!K7),'Forecast'!K7,NA())</f>
        <v>31.428571428571427</v>
      </c>
      <c r="C5" t="e">
        <f>IF(ISNUMBER('Forecast'!M7),'Forecast'!M7,NA())</f>
        <v>#N/A</v>
      </c>
      <c r="D5" t="e">
        <f>IF(ISNUMBER('Forecast'!N7),'Forecast'!N7,NA())</f>
        <v>#N/A</v>
      </c>
      <c r="E5">
        <f>IF(ISNUMBER('Forecast'!U7),'Forecast'!U7,NA())</f>
        <v>34.0</v>
      </c>
      <c r="F5">
        <f>IF(ISNUMBER('Forecast'!E7),'Forecast'!E7,NA())</f>
        <v>33.0</v>
      </c>
      <c r="G5">
        <f>IF(ISNUMBER('Forecast'!D7),'Forecast'!D7,NA())</f>
        <v>34.0</v>
      </c>
    </row>
    <row r="6" spans="1:7">
      <c r="A6" t="str">
        <f>'Forecast'!A8</f>
        <v>2026.5</v>
      </c>
      <c r="B6">
        <f>IF(ISNUMBER('Forecast'!K8),'Forecast'!K8,NA())</f>
        <v>30.0</v>
      </c>
      <c r="C6">
        <f>IF(ISNUMBER('Forecast'!M8),'Forecast'!M8,NA())</f>
        <v>31.590977443609024</v>
      </c>
      <c r="D6" t="e">
        <f>IF(ISNUMBER('Forecast'!N8),'Forecast'!N8,NA())</f>
        <v>#N/A</v>
      </c>
      <c r="E6">
        <f>IF(ISNUMBER('Forecast'!U8),'Forecast'!U8,NA())</f>
        <v>31.0</v>
      </c>
      <c r="F6">
        <f>IF(ISNUMBER('Forecast'!E8),'Forecast'!E8,NA())</f>
        <v>30.0</v>
      </c>
      <c r="G6">
        <f>IF(ISNUMBER('Forecast'!D8),'Forecast'!D8,NA())</f>
        <v>31.0</v>
      </c>
    </row>
    <row r="7" spans="1:7">
      <c r="A7" t="str">
        <f>'Forecast'!A9</f>
        <v>2026.6</v>
      </c>
      <c r="B7" t="e">
        <f>IF(ISNUMBER('Forecast'!K9),'Forecast'!K9,NA())</f>
        <v>#N/A</v>
      </c>
      <c r="C7" t="e">
        <f>IF(ISNUMBER('Forecast'!M9),'Forecast'!M9,NA())</f>
        <v>#N/A</v>
      </c>
      <c r="D7">
        <f>IF(ISNUMBER('Forecast'!N9),'Forecast'!N9,NA())</f>
        <v>31.590977443609024</v>
      </c>
      <c r="E7">
        <f>IF(ISNUMBER('Forecast'!U9),'Forecast'!U9,NA())</f>
        <v>31.5</v>
      </c>
      <c r="F7" t="e">
        <f>IF(ISNUMBER('Forecast'!E9),'Forecast'!E9,NA())</f>
        <v>#N/A</v>
      </c>
      <c r="G7">
        <f>IF(ISNUMBER('Forecast'!D9),'Forecast'!D9,NA())</f>
        <v>32.0</v>
      </c>
    </row>
    <row r="8" spans="1:7">
      <c r="A8" t="str">
        <f>'Forecast'!A10</f>
        <v>2026.7</v>
      </c>
      <c r="B8" t="e">
        <f>IF(ISNUMBER('Forecast'!K10),'Forecast'!K10,NA())</f>
        <v>#N/A</v>
      </c>
      <c r="C8" t="e">
        <f>IF(ISNUMBER('Forecast'!M10),'Forecast'!M10,NA())</f>
        <v>#N/A</v>
      </c>
      <c r="D8">
        <f>IF(ISNUMBER('Forecast'!N10),'Forecast'!N10,NA())</f>
        <v>31.590977443609024</v>
      </c>
      <c r="E8">
        <f>IF(ISNUMBER('Forecast'!U10),'Forecast'!U10,NA())</f>
        <v>31.5</v>
      </c>
      <c r="F8" t="e">
        <f>IF(ISNUMBER('Forecast'!E10),'Forecast'!E10,NA())</f>
        <v>#N/A</v>
      </c>
      <c r="G8" t="e">
        <f>IF(ISNUMBER('Forecast'!D10),'Forecast'!D10,NA())</f>
        <v>#N/A</v>
      </c>
    </row>
    <row r="9" spans="1:7">
      <c r="A9" t="str">
        <f>'Forecast'!A11</f>
        <v>2026.8</v>
      </c>
      <c r="B9" t="e">
        <f>IF(ISNUMBER('Forecast'!K11),'Forecast'!K11,NA())</f>
        <v>#N/A</v>
      </c>
      <c r="C9" t="e">
        <f>IF(ISNUMBER('Forecast'!M11),'Forecast'!M11,NA())</f>
        <v>#N/A</v>
      </c>
      <c r="D9">
        <f>IF(ISNUMBER('Forecast'!N11),'Forecast'!N11,NA())</f>
        <v>31.590977443609024</v>
      </c>
      <c r="E9">
        <f>IF(ISNUMBER('Forecast'!U11),'Forecast'!U11,NA())</f>
        <v>31.5</v>
      </c>
      <c r="F9" t="e">
        <f>IF(ISNUMBER('Forecast'!E11),'Forecast'!E11,NA())</f>
        <v>#N/A</v>
      </c>
      <c r="G9" t="e">
        <f>IF(ISNUMBER('Forecast'!D11),'Forecast'!D11,NA())</f>
        <v>#N/A</v>
      </c>
    </row>
  </sheetData>
  <conditionalFormatting sqref="B2:G9">
    <cfRule type="containsErrors" dxfId="0" priority="1">
      <formula>ISERROR(B2)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Settings</vt:lpstr>
      <vt:lpstr>Forecast</vt:lpstr>
      <vt:lpstr>Sprint data</vt:lpstr>
      <vt:lpstr>Absences</vt:lpstr>
      <vt:lpstr>People</vt:lpstr>
      <vt:lpstr>Product list</vt:lpstr>
      <vt:lpstr>Product values</vt:lpstr>
      <vt:lpstr>Prognoses</vt:lpstr>
      <vt:lpstr>Trend</vt:lpstr>
      <vt:lpstr>Duenn_Kapazitaet</vt:lpstr>
      <vt:lpstr>Duenn_nVelocity</vt:lpstr>
      <vt:lpstr>Fenster</vt:lpstr>
      <vt:lpstr>Referenz</vt:lpstr>
      <vt:lpstr>Roadmap_Anteil</vt:lpstr>
      <vt:lpstr>Rundung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intforecast-format">
    <vt:lpwstr>1</vt:lpwstr>
  </property>
  <property fmtid="{D5CDD505-2E9C-101B-9397-08002B2CF9AE}" pid="3" name="sprintforecast-team">
    <vt:lpwstr>tickets-products</vt:lpwstr>
  </property>
</Properties>
</file>